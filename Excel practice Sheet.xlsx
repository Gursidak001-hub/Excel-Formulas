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  <sheet state="visible" name="Sheet3" sheetId="3" r:id="rId7"/>
  </sheets>
  <definedNames/>
  <calcPr/>
</workbook>
</file>

<file path=xl/sharedStrings.xml><?xml version="1.0" encoding="utf-8"?>
<sst xmlns="http://schemas.openxmlformats.org/spreadsheetml/2006/main" count="366" uniqueCount="117">
  <si>
    <t>Roll_No</t>
  </si>
  <si>
    <t>Name</t>
  </si>
  <si>
    <t>Lname</t>
  </si>
  <si>
    <t>Age</t>
  </si>
  <si>
    <t>City</t>
  </si>
  <si>
    <t>Subject</t>
  </si>
  <si>
    <t>Score</t>
  </si>
  <si>
    <t>Animesh</t>
  </si>
  <si>
    <t>Singh</t>
  </si>
  <si>
    <t>Delhi</t>
  </si>
  <si>
    <t>Python</t>
  </si>
  <si>
    <t>Ankit</t>
  </si>
  <si>
    <t>Pandey</t>
  </si>
  <si>
    <t>Mumbai</t>
  </si>
  <si>
    <t>Tableau</t>
  </si>
  <si>
    <t>Funtion</t>
  </si>
  <si>
    <t>Result</t>
  </si>
  <si>
    <t>Formula</t>
  </si>
  <si>
    <t>Priya</t>
  </si>
  <si>
    <t>Gupta</t>
  </si>
  <si>
    <t>Noida</t>
  </si>
  <si>
    <t>SQL</t>
  </si>
  <si>
    <t>Count</t>
  </si>
  <si>
    <t>Count Student</t>
  </si>
  <si>
    <t>Anjali</t>
  </si>
  <si>
    <t>Verma</t>
  </si>
  <si>
    <t>ML</t>
  </si>
  <si>
    <t>Countblank</t>
  </si>
  <si>
    <t>Count Blank in LName</t>
  </si>
  <si>
    <t>Puklit</t>
  </si>
  <si>
    <t>Dubey</t>
  </si>
  <si>
    <t>Bangalore</t>
  </si>
  <si>
    <t>CountA</t>
  </si>
  <si>
    <t>Count of Non-null in Lname</t>
  </si>
  <si>
    <t>Nitesh</t>
  </si>
  <si>
    <t>Kumar</t>
  </si>
  <si>
    <t>AND</t>
  </si>
  <si>
    <t>Returns T when both conditions are T, otherwise F</t>
  </si>
  <si>
    <t>Ankush</t>
  </si>
  <si>
    <t>Singhla</t>
  </si>
  <si>
    <t>OR</t>
  </si>
  <si>
    <t>Returns T when any one of the condition is T, otherwise F</t>
  </si>
  <si>
    <t>Dhruv</t>
  </si>
  <si>
    <t>Countif</t>
  </si>
  <si>
    <t>Sumif</t>
  </si>
  <si>
    <t>Subject wise sum of Scores</t>
  </si>
  <si>
    <t>AvgScore</t>
  </si>
  <si>
    <t>Age : D2</t>
  </si>
  <si>
    <t>Sub : F2</t>
  </si>
  <si>
    <t>Q1) Find Avg Score where City is Delhi and Age is more than 22</t>
  </si>
  <si>
    <t>City : E2</t>
  </si>
  <si>
    <t>Score : G2</t>
  </si>
  <si>
    <t>Name : B2</t>
  </si>
  <si>
    <t>Subjects</t>
  </si>
  <si>
    <t>Sumif Result</t>
  </si>
  <si>
    <t>Formula_Used</t>
  </si>
  <si>
    <t>Rahul</t>
  </si>
  <si>
    <t>Sharma</t>
  </si>
  <si>
    <t>Power BI</t>
  </si>
  <si>
    <t>City wise count of differrent Cities</t>
  </si>
  <si>
    <t>Countifs</t>
  </si>
  <si>
    <t>works on AND</t>
  </si>
  <si>
    <t>Vinay</t>
  </si>
  <si>
    <t>Countif Result</t>
  </si>
  <si>
    <t>Fun_Used</t>
  </si>
  <si>
    <t>Q1) Count of all the rows where Age&gt;25 and Subject is Python</t>
  </si>
  <si>
    <t>SUMIF(F2:F21,"Python",G2:G21)</t>
  </si>
  <si>
    <t>Ujjwal</t>
  </si>
  <si>
    <t>sumif(F2:F21,"ML",G2:G21)</t>
  </si>
  <si>
    <t>Q2) Find AvgScore where City ends with 'i' and subject is ML</t>
  </si>
  <si>
    <t>sumif(F2:F21,"Power BI",G2:G21)</t>
  </si>
  <si>
    <t>CountIF</t>
  </si>
  <si>
    <t>sumif(F2:F21,"SQL",G2:G21)</t>
  </si>
  <si>
    <t>Q3) Find AvgScore where Age is less than 25 and FirstName Starts with 'A'</t>
  </si>
  <si>
    <t>Paritosh</t>
  </si>
  <si>
    <t>Agarwal</t>
  </si>
  <si>
    <t>Pune</t>
  </si>
  <si>
    <t>sumif(F2:F21,"Tableau",G2:G21)</t>
  </si>
  <si>
    <t>Q2) Count of all rows where Subject is Python or ML</t>
  </si>
  <si>
    <t>Twarita</t>
  </si>
  <si>
    <t>Nagar</t>
  </si>
  <si>
    <t>Q4) Find AvgScore where Age is between 23 and 25</t>
  </si>
  <si>
    <t>Sumifs</t>
  </si>
  <si>
    <t>Q1) Sum of Scores where City is Mumbai and Subject is ML</t>
  </si>
  <si>
    <t>Utsav</t>
  </si>
  <si>
    <t>Dwivedi</t>
  </si>
  <si>
    <t>Q3) Count all the rows where Score&gt;80 and City is not Delhi</t>
  </si>
  <si>
    <t>Neha</t>
  </si>
  <si>
    <t>Q2) Sum of Scores where City is Pune and Score&lt;80</t>
  </si>
  <si>
    <t>Pulkit</t>
  </si>
  <si>
    <t>Jaiswal</t>
  </si>
  <si>
    <t>Q3) Sum of Score where Students Last Name ends with a and Subject is ML</t>
  </si>
  <si>
    <t>Akanksha</t>
  </si>
  <si>
    <t>Q4) Count of Students who score between 70 and 80 (both inclusive)</t>
  </si>
  <si>
    <t>Student Count for different subjects</t>
  </si>
  <si>
    <t>Shreya</t>
  </si>
  <si>
    <t>Q4) Sum of all Scores where Subject is Python or ML</t>
  </si>
  <si>
    <t>Khushboo</t>
  </si>
  <si>
    <t>Formula Used</t>
  </si>
  <si>
    <t>Q5) Count of Rows where Student name starts with A and Score less than 70</t>
  </si>
  <si>
    <t>Abhishek</t>
  </si>
  <si>
    <t>Q6) Count of Rows where Student name starts and ends(Lname) with A</t>
  </si>
  <si>
    <t>sum</t>
  </si>
  <si>
    <t>min</t>
  </si>
  <si>
    <t>Q7) Count of Rows where Student First name is of 5 characters</t>
  </si>
  <si>
    <t>max</t>
  </si>
  <si>
    <t>Range Selected</t>
  </si>
  <si>
    <t>count</t>
  </si>
  <si>
    <t>Count Unique</t>
  </si>
  <si>
    <t>avg</t>
  </si>
  <si>
    <t>Sum</t>
  </si>
  <si>
    <t>Average</t>
  </si>
  <si>
    <t>Averageif</t>
  </si>
  <si>
    <t>Averageifs</t>
  </si>
  <si>
    <t>if</t>
  </si>
  <si>
    <t>and</t>
  </si>
  <si>
    <t>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</si>
</sst>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  <font/>
  </fonts>
  <fills count="11">
    <fill>
      <patternFill patternType="none"/>
    </fill>
    <fill>
      <patternFill patternType="lightGray"/>
    </fill>
    <fill>
      <patternFill patternType="solid">
        <fgColor rgb="FFFFE598"/>
        <bgColor rgb="FFFFE598"/>
      </patternFill>
    </fill>
    <fill>
      <patternFill patternType="solid">
        <fgColor rgb="FFF7CAAC"/>
        <bgColor rgb="FFF7CAAC"/>
      </patternFill>
    </fill>
    <fill>
      <patternFill patternType="solid">
        <fgColor rgb="FFFFE699"/>
        <bgColor rgb="FFFFE699"/>
      </patternFill>
    </fill>
    <fill>
      <patternFill patternType="solid">
        <fgColor rgb="FFB4C6E7"/>
        <bgColor rgb="FFB4C6E7"/>
      </patternFill>
    </fill>
    <fill>
      <patternFill patternType="solid">
        <fgColor rgb="FFFFD965"/>
        <bgColor rgb="FFFFD965"/>
      </patternFill>
    </fill>
    <fill>
      <patternFill patternType="solid">
        <fgColor rgb="FF8EAADB"/>
        <bgColor rgb="FF8EAADB"/>
      </patternFill>
    </fill>
    <fill>
      <patternFill patternType="solid">
        <fgColor rgb="FFF4B083"/>
        <bgColor rgb="FFF4B083"/>
      </patternFill>
    </fill>
    <fill>
      <patternFill patternType="solid">
        <fgColor rgb="FFC5E0B3"/>
        <bgColor rgb="FFC5E0B3"/>
      </patternFill>
    </fill>
    <fill>
      <patternFill patternType="solid">
        <fgColor rgb="FFA8D08D"/>
        <bgColor rgb="FFA8D08D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3" fontId="2" numFmtId="0" xfId="0" applyAlignment="1" applyFill="1" applyFont="1">
      <alignment shrinkToFit="0" vertical="bottom" wrapText="0"/>
    </xf>
    <xf borderId="0" fillId="0" fontId="2" numFmtId="0" xfId="0" applyAlignment="1" applyFont="1">
      <alignment horizontal="center" shrinkToFit="0" vertical="bottom" wrapText="0"/>
    </xf>
    <xf borderId="0" fillId="3" fontId="2" numFmtId="0" xfId="0" applyAlignment="1" applyFill="1" applyFont="1">
      <alignment shrinkToFit="0" vertical="bottom" wrapText="0"/>
    </xf>
    <xf borderId="0" fillId="0" fontId="2" numFmtId="0" xfId="0" applyAlignment="1" applyFont="1">
      <alignment horizontal="left" readingOrder="0" shrinkToFit="0" vertical="bottom" wrapText="0"/>
    </xf>
    <xf borderId="1" fillId="4" fontId="1" numFmtId="0" xfId="0" applyAlignment="1" applyBorder="1" applyFill="1" applyFont="1">
      <alignment horizontal="center" readingOrder="0" shrinkToFit="0" vertical="bottom" wrapText="0"/>
    </xf>
    <xf borderId="0" fillId="5" fontId="1" numFmtId="0" xfId="0" applyAlignment="1" applyFill="1" applyFont="1">
      <alignment readingOrder="0" shrinkToFit="0" vertical="bottom" wrapText="0"/>
    </xf>
    <xf borderId="2" fillId="6" fontId="1" numFmtId="0" xfId="0" applyAlignment="1" applyBorder="1" applyFill="1" applyFont="1">
      <alignment horizontal="left" readingOrder="0" shrinkToFit="0" vertical="bottom" wrapText="0"/>
    </xf>
    <xf borderId="0" fillId="7" fontId="1" numFmtId="0" xfId="0" applyAlignment="1" applyFill="1" applyFont="1">
      <alignment readingOrder="0" shrinkToFit="0" vertical="bottom" wrapText="0"/>
    </xf>
    <xf borderId="3" fillId="0" fontId="3" numFmtId="0" xfId="0" applyBorder="1" applyFont="1"/>
    <xf borderId="4" fillId="0" fontId="3" numFmtId="0" xfId="0" applyBorder="1" applyFont="1"/>
    <xf borderId="1" fillId="8" fontId="1" numFmtId="0" xfId="0" applyAlignment="1" applyBorder="1" applyFill="1" applyFont="1">
      <alignment readingOrder="0" shrinkToFit="0" vertical="bottom" wrapText="0"/>
    </xf>
    <xf borderId="5" fillId="8" fontId="1" numFmtId="0" xfId="0" applyAlignment="1" applyBorder="1" applyFill="1" applyFont="1">
      <alignment horizontal="center" readingOrder="0" shrinkToFit="0" vertical="bottom" wrapText="0"/>
    </xf>
    <xf borderId="6" fillId="0" fontId="3" numFmtId="0" xfId="0" applyBorder="1" applyFont="1"/>
    <xf borderId="7" fillId="6" fontId="1" numFmtId="0" xfId="0" applyAlignment="1" applyBorder="1" applyFill="1" applyFont="1">
      <alignment horizontal="center" readingOrder="0" shrinkToFit="0" vertical="bottom" wrapText="0"/>
    </xf>
    <xf borderId="8" fillId="8" fontId="1" numFmtId="0" xfId="0" applyAlignment="1" applyBorder="1" applyFill="1" applyFont="1">
      <alignment readingOrder="0" shrinkToFit="0" vertical="bottom" wrapText="0"/>
    </xf>
    <xf borderId="0" fillId="9" fontId="2" numFmtId="0" xfId="0" applyAlignment="1" applyFill="1" applyFont="1">
      <alignment horizontal="left" readingOrder="0" shrinkToFit="0" vertical="bottom" wrapText="0"/>
    </xf>
    <xf borderId="0" fillId="0" fontId="2" numFmtId="0" xfId="0" applyAlignment="1" applyFont="1">
      <alignment vertical="bottom"/>
    </xf>
    <xf borderId="0" fillId="3" fontId="2" numFmtId="0" xfId="0" applyAlignment="1" applyFill="1" applyFont="1">
      <alignment horizontal="left" shrinkToFit="0" vertical="bottom" wrapText="0"/>
    </xf>
    <xf borderId="0" fillId="10" fontId="2" numFmtId="0" xfId="0" applyAlignment="1" applyFill="1" applyFont="1">
      <alignment horizontal="left" readingOrder="0" shrinkToFit="0" vertical="bottom" wrapText="0"/>
    </xf>
    <xf borderId="0" fillId="9" fontId="2" numFmtId="0" xfId="0" applyAlignment="1" applyFill="1" applyFont="1">
      <alignment readingOrder="0" shrinkToFit="0" vertical="bottom" wrapText="0"/>
    </xf>
    <xf borderId="0" fillId="9" fontId="2" numFmtId="0" xfId="0" applyAlignment="1" applyFill="1" applyFont="1">
      <alignment shrinkToFit="0" vertical="bottom" wrapText="0"/>
    </xf>
    <xf borderId="7" fillId="6" fontId="1" numFmtId="0" xfId="0" applyAlignment="1" applyBorder="1" applyFill="1" applyFont="1">
      <alignment horizontal="left" readingOrder="0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1" numFmtId="0" xfId="0" applyAlignment="1" applyFont="1">
      <alignment shrinkToFit="0" vertical="bottom" wrapText="0"/>
    </xf>
    <xf borderId="0" fillId="3" fontId="2" numFmtId="0" xfId="0" applyAlignment="1" applyFill="1" applyFont="1">
      <alignment horizontal="center" shrinkToFit="0" vertical="bottom" wrapText="0"/>
    </xf>
    <xf borderId="0" fillId="0" fontId="2" numFmtId="0" xfId="0" applyAlignment="1" applyFont="1">
      <alignment horizontal="lef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21.5"/>
  </cols>
  <sheetData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>
        <v>121.0</v>
      </c>
      <c r="B3" s="4" t="s">
        <v>7</v>
      </c>
      <c r="C3" s="4" t="s">
        <v>8</v>
      </c>
      <c r="D3" s="3">
        <v>22.0</v>
      </c>
      <c r="E3" s="4" t="s">
        <v>9</v>
      </c>
      <c r="F3" s="4" t="s">
        <v>10</v>
      </c>
      <c r="G3" s="3">
        <v>55.0</v>
      </c>
      <c r="H3" s="2"/>
      <c r="I3" s="2"/>
      <c r="J3" s="4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>
        <v>122.0</v>
      </c>
      <c r="B4" s="4" t="s">
        <v>11</v>
      </c>
      <c r="C4" s="4" t="s">
        <v>12</v>
      </c>
      <c r="D4" s="3">
        <v>23.0</v>
      </c>
      <c r="E4" s="4" t="s">
        <v>13</v>
      </c>
      <c r="F4" s="4" t="s">
        <v>14</v>
      </c>
      <c r="G4" s="3">
        <v>63.0</v>
      </c>
      <c r="H4" s="2"/>
      <c r="I4" s="5" t="s">
        <v>15</v>
      </c>
      <c r="J4" s="2"/>
      <c r="K4" s="5" t="s">
        <v>16</v>
      </c>
      <c r="L4" s="4" t="s">
        <v>17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>
        <v>123.0</v>
      </c>
      <c r="B5" s="4" t="s">
        <v>18</v>
      </c>
      <c r="C5" s="4" t="s">
        <v>19</v>
      </c>
      <c r="D5" s="3">
        <v>24.0</v>
      </c>
      <c r="E5" s="4" t="s">
        <v>20</v>
      </c>
      <c r="F5" s="4" t="s">
        <v>21</v>
      </c>
      <c r="G5" s="3">
        <v>71.0</v>
      </c>
      <c r="H5" s="2"/>
      <c r="I5" s="5" t="s">
        <v>22</v>
      </c>
      <c r="J5" s="4" t="s">
        <v>23</v>
      </c>
      <c r="K5" s="6">
        <f>COUNTA(B3:B22)</f>
        <v>20</v>
      </c>
      <c r="L5" s="7"/>
      <c r="M5" s="8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>
        <v>124.0</v>
      </c>
      <c r="B6" s="4" t="s">
        <v>24</v>
      </c>
      <c r="C6" s="4" t="s">
        <v>25</v>
      </c>
      <c r="D6" s="3">
        <v>21.0</v>
      </c>
      <c r="E6" s="4" t="s">
        <v>13</v>
      </c>
      <c r="F6" s="4" t="s">
        <v>26</v>
      </c>
      <c r="G6" s="3">
        <v>68.0</v>
      </c>
      <c r="H6" s="2"/>
      <c r="I6" s="5" t="s">
        <v>27</v>
      </c>
      <c r="J6" s="4" t="s">
        <v>28</v>
      </c>
      <c r="K6" s="2">
        <f>COUNTBLANK(C3:C22)</f>
        <v>2</v>
      </c>
      <c r="L6" s="9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>
        <v>125.0</v>
      </c>
      <c r="B7" s="4" t="s">
        <v>29</v>
      </c>
      <c r="C7" s="4" t="s">
        <v>30</v>
      </c>
      <c r="D7" s="3">
        <v>25.0</v>
      </c>
      <c r="E7" s="4" t="s">
        <v>31</v>
      </c>
      <c r="F7" s="4" t="s">
        <v>21</v>
      </c>
      <c r="G7" s="3">
        <v>74.0</v>
      </c>
      <c r="H7" s="2"/>
      <c r="I7" s="5" t="s">
        <v>32</v>
      </c>
      <c r="J7" s="4" t="s">
        <v>33</v>
      </c>
      <c r="K7" s="2">
        <f>COUNTA(C3:C22)</f>
        <v>18</v>
      </c>
      <c r="L7" s="9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>
        <v>126.0</v>
      </c>
      <c r="B8" s="4" t="s">
        <v>34</v>
      </c>
      <c r="C8" s="4" t="s">
        <v>35</v>
      </c>
      <c r="D8" s="3">
        <v>24.0</v>
      </c>
      <c r="E8" s="4" t="s">
        <v>9</v>
      </c>
      <c r="F8" s="4" t="s">
        <v>26</v>
      </c>
      <c r="G8" s="3">
        <v>81.0</v>
      </c>
      <c r="H8" s="2"/>
      <c r="I8" s="2"/>
      <c r="J8" s="2"/>
      <c r="K8" s="2"/>
      <c r="L8" s="2"/>
      <c r="M8" s="2"/>
      <c r="N8" s="2"/>
      <c r="O8" s="2"/>
      <c r="P8" s="2"/>
      <c r="Q8" s="2"/>
      <c r="R8" s="4" t="s">
        <v>36</v>
      </c>
      <c r="S8" s="10" t="s">
        <v>37</v>
      </c>
      <c r="Y8" s="2"/>
      <c r="Z8" s="2"/>
    </row>
    <row r="9">
      <c r="A9" s="3">
        <v>127.0</v>
      </c>
      <c r="B9" s="4" t="s">
        <v>38</v>
      </c>
      <c r="C9" s="4" t="s">
        <v>39</v>
      </c>
      <c r="D9" s="3">
        <v>23.0</v>
      </c>
      <c r="E9" s="4" t="s">
        <v>13</v>
      </c>
      <c r="F9" s="4" t="s">
        <v>10</v>
      </c>
      <c r="G9" s="3">
        <v>83.0</v>
      </c>
      <c r="H9" s="2"/>
      <c r="I9" s="2"/>
      <c r="J9" s="2"/>
      <c r="K9" s="4"/>
      <c r="L9" s="2"/>
      <c r="M9" s="2"/>
      <c r="N9" s="2"/>
      <c r="O9" s="2"/>
      <c r="P9" s="2"/>
      <c r="Q9" s="2"/>
      <c r="R9" s="4" t="s">
        <v>40</v>
      </c>
      <c r="S9" s="10" t="s">
        <v>41</v>
      </c>
      <c r="Y9" s="2"/>
      <c r="Z9" s="2"/>
    </row>
    <row r="10">
      <c r="A10" s="3">
        <v>128.0</v>
      </c>
      <c r="B10" s="4" t="s">
        <v>42</v>
      </c>
      <c r="C10" s="4" t="s">
        <v>19</v>
      </c>
      <c r="D10" s="3">
        <v>24.0</v>
      </c>
      <c r="E10" s="4" t="s">
        <v>31</v>
      </c>
      <c r="F10" s="4" t="s">
        <v>14</v>
      </c>
      <c r="G10" s="3">
        <v>80.0</v>
      </c>
      <c r="H10" s="2"/>
      <c r="I10" s="14" t="s">
        <v>43</v>
      </c>
      <c r="J10" s="2"/>
      <c r="K10" s="2"/>
      <c r="L10" s="2"/>
      <c r="M10" s="2"/>
      <c r="N10" s="2"/>
      <c r="O10" s="2"/>
      <c r="P10" s="4" t="s">
        <v>47</v>
      </c>
      <c r="Q10" s="4" t="s">
        <v>48</v>
      </c>
      <c r="R10" s="4" t="s">
        <v>50</v>
      </c>
      <c r="S10" s="4" t="s">
        <v>51</v>
      </c>
      <c r="T10" s="4" t="s">
        <v>52</v>
      </c>
      <c r="U10" s="2"/>
      <c r="V10" s="2"/>
      <c r="W10" s="2"/>
      <c r="X10" s="2"/>
      <c r="Y10" s="2"/>
      <c r="Z10" s="2"/>
    </row>
    <row r="11">
      <c r="A11" s="3">
        <v>129.0</v>
      </c>
      <c r="B11" s="4" t="s">
        <v>56</v>
      </c>
      <c r="C11" s="4" t="s">
        <v>57</v>
      </c>
      <c r="D11" s="3">
        <v>25.0</v>
      </c>
      <c r="E11" s="4" t="s">
        <v>20</v>
      </c>
      <c r="F11" s="4" t="s">
        <v>58</v>
      </c>
      <c r="G11" s="3">
        <v>74.0</v>
      </c>
      <c r="H11" s="2"/>
      <c r="I11" s="20" t="s">
        <v>59</v>
      </c>
      <c r="M11" s="2"/>
      <c r="N11" s="14" t="s">
        <v>60</v>
      </c>
      <c r="O11" s="4" t="s">
        <v>61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>
        <v>130.0</v>
      </c>
      <c r="B12" s="4" t="s">
        <v>62</v>
      </c>
      <c r="C12" s="2"/>
      <c r="D12" s="3">
        <v>27.0</v>
      </c>
      <c r="E12" s="4" t="s">
        <v>13</v>
      </c>
      <c r="F12" s="4" t="s">
        <v>26</v>
      </c>
      <c r="G12" s="3">
        <v>47.0</v>
      </c>
      <c r="H12" s="2"/>
      <c r="I12" s="21" t="s">
        <v>4</v>
      </c>
      <c r="J12" s="17" t="s">
        <v>63</v>
      </c>
      <c r="K12" s="17" t="s">
        <v>64</v>
      </c>
      <c r="L12" s="2"/>
      <c r="M12" s="2"/>
      <c r="N12" s="22" t="s">
        <v>65</v>
      </c>
      <c r="U12" s="2"/>
      <c r="V12" s="2"/>
      <c r="W12" s="2"/>
      <c r="X12" s="2"/>
      <c r="Y12" s="2"/>
      <c r="Z12" s="2"/>
    </row>
    <row r="13">
      <c r="A13" s="3">
        <v>131.0</v>
      </c>
      <c r="B13" s="4" t="s">
        <v>67</v>
      </c>
      <c r="C13" s="4" t="s">
        <v>8</v>
      </c>
      <c r="D13" s="3">
        <v>28.0</v>
      </c>
      <c r="E13" s="4" t="s">
        <v>20</v>
      </c>
      <c r="F13" s="4" t="s">
        <v>58</v>
      </c>
      <c r="G13" s="3">
        <v>91.0</v>
      </c>
      <c r="H13" s="2"/>
      <c r="I13" s="4" t="s">
        <v>9</v>
      </c>
      <c r="J13" s="4">
        <f>COUNTIF(E3:E21,"Delhi")</f>
        <v>4</v>
      </c>
      <c r="K13" s="4" t="s">
        <v>71</v>
      </c>
      <c r="L13" s="2"/>
      <c r="M13" s="2"/>
      <c r="N13" s="2">
        <f>COUNTIFS(F3:F22,"Python",D3:D22,"&gt;25")</f>
        <v>1</v>
      </c>
      <c r="O13" s="2"/>
      <c r="P13" s="9"/>
      <c r="Q13" s="9"/>
      <c r="R13" s="9"/>
      <c r="S13" s="9"/>
      <c r="T13" s="9"/>
      <c r="U13" s="2"/>
      <c r="V13" s="2"/>
      <c r="W13" s="2"/>
      <c r="X13" s="2"/>
      <c r="Y13" s="2"/>
      <c r="Z13" s="2"/>
    </row>
    <row r="14">
      <c r="A14" s="3">
        <v>132.0</v>
      </c>
      <c r="B14" s="4" t="s">
        <v>74</v>
      </c>
      <c r="C14" s="4" t="s">
        <v>75</v>
      </c>
      <c r="D14" s="3">
        <v>26.0</v>
      </c>
      <c r="E14" s="4" t="s">
        <v>31</v>
      </c>
      <c r="F14" s="4" t="s">
        <v>26</v>
      </c>
      <c r="G14" s="3">
        <v>72.0</v>
      </c>
      <c r="H14" s="2"/>
      <c r="I14" s="4" t="s">
        <v>13</v>
      </c>
      <c r="J14" s="2">
        <f>COUNTIF(E3:E22,"Mumbai")</f>
        <v>5</v>
      </c>
      <c r="K14" s="4" t="s">
        <v>71</v>
      </c>
      <c r="L14" s="2"/>
      <c r="M14" s="2"/>
      <c r="N14" s="22" t="s">
        <v>78</v>
      </c>
      <c r="U14" s="2"/>
      <c r="V14" s="2"/>
      <c r="W14" s="2"/>
      <c r="X14" s="2"/>
      <c r="Y14" s="2"/>
      <c r="Z14" s="2"/>
    </row>
    <row r="15">
      <c r="A15" s="3">
        <v>133.0</v>
      </c>
      <c r="B15" s="4" t="s">
        <v>79</v>
      </c>
      <c r="C15" s="4" t="s">
        <v>80</v>
      </c>
      <c r="D15" s="3">
        <v>23.0</v>
      </c>
      <c r="E15" s="4" t="s">
        <v>9</v>
      </c>
      <c r="F15" s="4" t="s">
        <v>21</v>
      </c>
      <c r="G15" s="3">
        <v>87.0</v>
      </c>
      <c r="H15" s="2"/>
      <c r="I15" s="4" t="s">
        <v>20</v>
      </c>
      <c r="J15" s="2">
        <f>COUNTIF(E3:E23,"Noida")</f>
        <v>5</v>
      </c>
      <c r="K15" s="4" t="s">
        <v>71</v>
      </c>
      <c r="L15" s="2"/>
      <c r="M15" s="2"/>
      <c r="N15" s="2"/>
      <c r="O15" s="2"/>
      <c r="P15" s="24"/>
      <c r="V15" s="2"/>
      <c r="W15" s="2"/>
      <c r="X15" s="2"/>
      <c r="Y15" s="2"/>
      <c r="Z15" s="2"/>
    </row>
    <row r="16">
      <c r="A16" s="3">
        <v>134.0</v>
      </c>
      <c r="B16" s="4" t="s">
        <v>84</v>
      </c>
      <c r="C16" s="4" t="s">
        <v>85</v>
      </c>
      <c r="D16" s="3">
        <v>22.0</v>
      </c>
      <c r="E16" s="4" t="s">
        <v>20</v>
      </c>
      <c r="F16" s="4" t="s">
        <v>14</v>
      </c>
      <c r="G16" s="3">
        <v>79.0</v>
      </c>
      <c r="H16" s="2"/>
      <c r="I16" s="4" t="s">
        <v>76</v>
      </c>
      <c r="J16" s="2">
        <f>COUNTIF(E3:E24,"Pune")</f>
        <v>2</v>
      </c>
      <c r="K16" s="4" t="s">
        <v>71</v>
      </c>
      <c r="L16" s="2"/>
      <c r="M16" s="2"/>
      <c r="N16" s="22" t="s">
        <v>86</v>
      </c>
      <c r="U16" s="2"/>
      <c r="V16" s="2"/>
      <c r="W16" s="2"/>
      <c r="X16" s="2"/>
      <c r="Y16" s="2"/>
      <c r="Z16" s="2"/>
    </row>
    <row r="17">
      <c r="A17" s="3">
        <v>135.0</v>
      </c>
      <c r="B17" s="4" t="s">
        <v>87</v>
      </c>
      <c r="C17" s="2"/>
      <c r="D17" s="3">
        <v>24.0</v>
      </c>
      <c r="E17" s="4" t="s">
        <v>9</v>
      </c>
      <c r="F17" s="4" t="s">
        <v>26</v>
      </c>
      <c r="G17" s="3">
        <v>81.0</v>
      </c>
      <c r="H17" s="2"/>
      <c r="I17" s="4" t="s">
        <v>31</v>
      </c>
      <c r="J17" s="2">
        <f>COUNTIF(E3:E25,"Bangalore")</f>
        <v>4</v>
      </c>
      <c r="K17" s="4" t="s">
        <v>71</v>
      </c>
      <c r="L17" s="2"/>
      <c r="M17" s="2"/>
      <c r="N17" s="2">
        <f>COUNTIFS(G3:G22,"&gt;80",E3:E22,"&lt;&gt;Delhi")</f>
        <v>3</v>
      </c>
      <c r="O17" s="2"/>
      <c r="P17" s="24"/>
      <c r="U17" s="2"/>
      <c r="V17" s="2"/>
      <c r="W17" s="2"/>
      <c r="X17" s="2"/>
      <c r="Y17" s="2"/>
      <c r="Z17" s="2"/>
    </row>
    <row r="18">
      <c r="A18" s="3">
        <v>136.0</v>
      </c>
      <c r="B18" s="4" t="s">
        <v>89</v>
      </c>
      <c r="C18" s="4" t="s">
        <v>90</v>
      </c>
      <c r="D18" s="3">
        <v>25.0</v>
      </c>
      <c r="E18" s="4" t="s">
        <v>13</v>
      </c>
      <c r="F18" s="4" t="s">
        <v>10</v>
      </c>
      <c r="G18" s="3">
        <v>56.0</v>
      </c>
      <c r="H18" s="2"/>
      <c r="I18" s="2"/>
      <c r="J18" s="2"/>
      <c r="K18" s="2"/>
      <c r="L18" s="2"/>
      <c r="M18" s="2"/>
      <c r="N18" s="26" t="s">
        <v>93</v>
      </c>
      <c r="O18" s="27"/>
      <c r="P18" s="27"/>
      <c r="Q18" s="27"/>
      <c r="R18" s="27"/>
      <c r="S18" s="27"/>
      <c r="T18" s="27"/>
      <c r="U18" s="2"/>
      <c r="V18" s="2"/>
      <c r="W18" s="2"/>
      <c r="X18" s="2"/>
      <c r="Y18" s="2"/>
      <c r="Z18" s="2"/>
    </row>
    <row r="19">
      <c r="A19" s="3">
        <v>137.0</v>
      </c>
      <c r="B19" s="4" t="s">
        <v>92</v>
      </c>
      <c r="C19" s="4" t="s">
        <v>75</v>
      </c>
      <c r="D19" s="3">
        <v>21.0</v>
      </c>
      <c r="E19" s="4" t="s">
        <v>31</v>
      </c>
      <c r="F19" s="4" t="s">
        <v>26</v>
      </c>
      <c r="G19" s="3">
        <v>49.0</v>
      </c>
      <c r="H19" s="2"/>
      <c r="I19" s="28" t="s">
        <v>94</v>
      </c>
      <c r="L19" s="29"/>
      <c r="M19" s="2"/>
      <c r="N19" s="2">
        <f>COUNTIFS(G3:G22,"&gt;70",G3:G22,"&lt;80")</f>
        <v>7</v>
      </c>
      <c r="O19" s="2"/>
      <c r="P19" s="24"/>
      <c r="U19" s="2"/>
      <c r="V19" s="30"/>
      <c r="W19" s="2"/>
      <c r="X19" s="2"/>
      <c r="Y19" s="2"/>
      <c r="Z19" s="2"/>
    </row>
    <row r="20">
      <c r="A20" s="3">
        <v>138.0</v>
      </c>
      <c r="B20" s="4" t="s">
        <v>95</v>
      </c>
      <c r="C20" s="4" t="s">
        <v>8</v>
      </c>
      <c r="D20" s="3">
        <v>26.0</v>
      </c>
      <c r="E20" s="4" t="s">
        <v>76</v>
      </c>
      <c r="F20" s="4" t="s">
        <v>10</v>
      </c>
      <c r="G20" s="3">
        <v>73.0</v>
      </c>
      <c r="H20" s="2"/>
      <c r="I20" s="5" t="s">
        <v>53</v>
      </c>
      <c r="J20" s="5" t="s">
        <v>22</v>
      </c>
      <c r="K20" s="5" t="s">
        <v>98</v>
      </c>
      <c r="L20" s="2"/>
      <c r="M20" s="2"/>
      <c r="N20" s="22" t="s">
        <v>99</v>
      </c>
      <c r="V20" s="2"/>
      <c r="W20" s="2"/>
      <c r="X20" s="2"/>
      <c r="Y20" s="2"/>
      <c r="Z20" s="2"/>
    </row>
    <row r="21">
      <c r="A21" s="3">
        <v>139.0</v>
      </c>
      <c r="B21" s="4" t="s">
        <v>97</v>
      </c>
      <c r="C21" s="4" t="s">
        <v>12</v>
      </c>
      <c r="D21" s="3">
        <v>24.0</v>
      </c>
      <c r="E21" s="4" t="s">
        <v>76</v>
      </c>
      <c r="F21" s="4" t="s">
        <v>21</v>
      </c>
      <c r="G21" s="3">
        <v>76.0</v>
      </c>
      <c r="H21" s="2"/>
      <c r="I21" s="4" t="s">
        <v>21</v>
      </c>
      <c r="J21" s="4">
        <f>COUNTIF(F3:F22,"SQL")</f>
        <v>4</v>
      </c>
      <c r="K21" s="4" t="s">
        <v>71</v>
      </c>
      <c r="L21" s="2"/>
      <c r="M21" s="2"/>
      <c r="N21" s="2">
        <f>COUNTIFS(B2:B22,"A*",G2:G22,"&lt;70")</f>
        <v>4</v>
      </c>
      <c r="O21" s="2"/>
      <c r="P21" s="24"/>
      <c r="V21" s="2"/>
      <c r="W21" s="2"/>
      <c r="X21" s="2"/>
      <c r="Y21" s="2"/>
      <c r="Z21" s="2"/>
    </row>
    <row r="22">
      <c r="A22" s="3">
        <v>140.0</v>
      </c>
      <c r="B22" s="4" t="s">
        <v>100</v>
      </c>
      <c r="C22" s="4" t="s">
        <v>8</v>
      </c>
      <c r="D22" s="3">
        <v>23.0</v>
      </c>
      <c r="E22" s="4" t="s">
        <v>20</v>
      </c>
      <c r="F22" s="4" t="s">
        <v>10</v>
      </c>
      <c r="G22" s="3">
        <v>82.0</v>
      </c>
      <c r="H22" s="2"/>
      <c r="I22" s="4" t="s">
        <v>14</v>
      </c>
      <c r="J22" s="2">
        <f>COUNTIF(F3:F22,"Tableau")</f>
        <v>3</v>
      </c>
      <c r="K22" s="2"/>
      <c r="L22" s="2"/>
      <c r="M22" s="2"/>
      <c r="N22" s="22" t="s">
        <v>101</v>
      </c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4" t="s">
        <v>58</v>
      </c>
      <c r="J23" s="2">
        <f>COUNTIF(F3:F22,"Power BI")</f>
        <v>2</v>
      </c>
      <c r="K23" s="2"/>
      <c r="L23" s="2"/>
      <c r="M23" s="2"/>
      <c r="N23" s="2">
        <f>COUNTIFS(B:B,"A*",C:C,"*A")</f>
        <v>2</v>
      </c>
      <c r="O23" s="2"/>
      <c r="P23" s="31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4" t="s">
        <v>26</v>
      </c>
      <c r="J24" s="2">
        <f>COUNTIF(F3:F22,"ML")</f>
        <v>6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4" t="s">
        <v>102</v>
      </c>
      <c r="G25" s="2">
        <f>sum(G3:G22)</f>
        <v>1442</v>
      </c>
      <c r="H25" s="2"/>
      <c r="I25" s="4" t="s">
        <v>10</v>
      </c>
      <c r="J25" s="2">
        <f>COUNTIF(F3:F22,"Python")</f>
        <v>5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4" t="s">
        <v>103</v>
      </c>
      <c r="G26" s="2">
        <f>MIN(G3:G22)</f>
        <v>47</v>
      </c>
      <c r="H26" s="2"/>
      <c r="I26" s="2"/>
      <c r="J26" s="2"/>
      <c r="K26" s="2"/>
      <c r="L26" s="2"/>
      <c r="M26" s="2"/>
      <c r="N26" s="22" t="s">
        <v>104</v>
      </c>
      <c r="U26" s="3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4" t="s">
        <v>105</v>
      </c>
      <c r="G27" s="2">
        <f>MAX(G3:G22)</f>
        <v>91</v>
      </c>
      <c r="H27" s="2"/>
      <c r="I27" s="2"/>
      <c r="J27" s="2"/>
      <c r="K27" s="4" t="s">
        <v>106</v>
      </c>
      <c r="L27" s="2"/>
      <c r="M27" s="2"/>
      <c r="N27" s="2">
        <f>COUNTIF(B:B,"?????")</f>
        <v>6</v>
      </c>
      <c r="O27" s="2"/>
      <c r="P27" s="31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4" t="s">
        <v>107</v>
      </c>
      <c r="G28" s="2">
        <f>COUNT(G3:G22)</f>
        <v>20</v>
      </c>
      <c r="H28" s="2"/>
      <c r="I28" s="5" t="s">
        <v>108</v>
      </c>
      <c r="J28" s="2">
        <f>IFERROR(__xludf.DUMMYFUNCTION("COUNTUNIQUE(G3:G22)"),18.0)</f>
        <v>18</v>
      </c>
      <c r="K28" s="4" t="s">
        <v>6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4" t="s">
        <v>22</v>
      </c>
      <c r="W28" s="4" t="s">
        <v>43</v>
      </c>
      <c r="X28" s="4" t="s">
        <v>60</v>
      </c>
      <c r="Y28" s="2"/>
      <c r="Z28" s="2"/>
    </row>
    <row r="29">
      <c r="A29" s="2"/>
      <c r="B29" s="2"/>
      <c r="C29" s="2"/>
      <c r="D29" s="2"/>
      <c r="E29" s="2"/>
      <c r="F29" s="4" t="s">
        <v>109</v>
      </c>
      <c r="G29" s="2">
        <f>AVERAGE(G3:G22)</f>
        <v>72.1</v>
      </c>
      <c r="H29" s="2"/>
      <c r="I29" s="2"/>
      <c r="J29" s="9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4" t="s">
        <v>110</v>
      </c>
      <c r="W29" s="4" t="s">
        <v>44</v>
      </c>
      <c r="X29" s="4" t="s">
        <v>82</v>
      </c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9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4" t="s">
        <v>111</v>
      </c>
      <c r="W30" s="4" t="s">
        <v>112</v>
      </c>
      <c r="X30" s="4" t="s">
        <v>113</v>
      </c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4" t="s">
        <v>114</v>
      </c>
      <c r="W31" s="4" t="s">
        <v>115</v>
      </c>
      <c r="X31" s="4" t="s">
        <v>116</v>
      </c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</sheetData>
  <mergeCells count="17">
    <mergeCell ref="M5:N5"/>
    <mergeCell ref="S8:X8"/>
    <mergeCell ref="S9:X9"/>
    <mergeCell ref="I11:L11"/>
    <mergeCell ref="N12:T12"/>
    <mergeCell ref="N14:T14"/>
    <mergeCell ref="P15:U15"/>
    <mergeCell ref="P23:S23"/>
    <mergeCell ref="N26:T26"/>
    <mergeCell ref="P27:R27"/>
    <mergeCell ref="N16:T16"/>
    <mergeCell ref="P17:T17"/>
    <mergeCell ref="I19:K19"/>
    <mergeCell ref="P19:T19"/>
    <mergeCell ref="N20:U20"/>
    <mergeCell ref="P21:U21"/>
    <mergeCell ref="N22:T2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>
        <v>121.0</v>
      </c>
      <c r="B2" s="4" t="s">
        <v>7</v>
      </c>
      <c r="C2" s="4" t="s">
        <v>8</v>
      </c>
      <c r="D2" s="3">
        <v>22.0</v>
      </c>
      <c r="E2" s="4" t="s">
        <v>9</v>
      </c>
      <c r="F2" s="4" t="s">
        <v>10</v>
      </c>
      <c r="G2" s="3">
        <v>55.0</v>
      </c>
      <c r="H2" s="2"/>
      <c r="I2" s="2"/>
      <c r="J2" s="12" t="s">
        <v>44</v>
      </c>
      <c r="K2" s="2"/>
      <c r="L2" s="2"/>
      <c r="M2" s="2"/>
      <c r="N2" s="2"/>
      <c r="O2" s="2"/>
      <c r="P2" s="2"/>
      <c r="Q2" s="2"/>
      <c r="R2" s="2"/>
    </row>
    <row r="3">
      <c r="A3" s="3">
        <v>122.0</v>
      </c>
      <c r="B3" s="4" t="s">
        <v>11</v>
      </c>
      <c r="C3" s="4" t="s">
        <v>12</v>
      </c>
      <c r="D3" s="3">
        <v>23.0</v>
      </c>
      <c r="E3" s="4" t="s">
        <v>13</v>
      </c>
      <c r="F3" s="4" t="s">
        <v>14</v>
      </c>
      <c r="G3" s="3">
        <v>63.0</v>
      </c>
      <c r="H3" s="2"/>
      <c r="I3" s="2"/>
      <c r="J3" s="13" t="s">
        <v>45</v>
      </c>
      <c r="K3" s="15"/>
      <c r="L3" s="16"/>
      <c r="M3" s="2"/>
      <c r="N3" s="2"/>
      <c r="O3" s="2"/>
      <c r="P3" s="2"/>
      <c r="Q3" s="2"/>
      <c r="R3" s="2"/>
    </row>
    <row r="4">
      <c r="A4" s="3">
        <v>123.0</v>
      </c>
      <c r="B4" s="4" t="s">
        <v>18</v>
      </c>
      <c r="C4" s="4" t="s">
        <v>19</v>
      </c>
      <c r="D4" s="3">
        <v>24.0</v>
      </c>
      <c r="E4" s="4" t="s">
        <v>20</v>
      </c>
      <c r="F4" s="4" t="s">
        <v>21</v>
      </c>
      <c r="G4" s="3">
        <v>71.0</v>
      </c>
      <c r="H4" s="2"/>
      <c r="I4" s="2"/>
      <c r="J4" s="17" t="s">
        <v>53</v>
      </c>
      <c r="K4" s="17" t="s">
        <v>54</v>
      </c>
      <c r="L4" s="18" t="s">
        <v>55</v>
      </c>
      <c r="M4" s="19"/>
      <c r="N4" s="2"/>
      <c r="O4" s="2"/>
      <c r="P4" s="2"/>
      <c r="Q4" s="2"/>
      <c r="R4" s="2"/>
    </row>
    <row r="5">
      <c r="A5" s="3">
        <v>124.0</v>
      </c>
      <c r="B5" s="4" t="s">
        <v>24</v>
      </c>
      <c r="C5" s="4" t="s">
        <v>25</v>
      </c>
      <c r="D5" s="3">
        <v>21.0</v>
      </c>
      <c r="E5" s="4" t="s">
        <v>13</v>
      </c>
      <c r="F5" s="4" t="s">
        <v>26</v>
      </c>
      <c r="G5" s="3">
        <v>68.0</v>
      </c>
      <c r="H5" s="2"/>
      <c r="I5" s="2"/>
      <c r="J5" s="4" t="s">
        <v>10</v>
      </c>
      <c r="K5" s="2">
        <f>SUMIF(F2:F21,"Python",G2:G21)</f>
        <v>349</v>
      </c>
      <c r="L5" s="4" t="s">
        <v>66</v>
      </c>
      <c r="M5" s="2"/>
      <c r="N5" s="2"/>
      <c r="O5" s="2"/>
      <c r="P5" s="2"/>
      <c r="Q5" s="2"/>
      <c r="R5" s="2"/>
    </row>
    <row r="6">
      <c r="A6" s="3">
        <v>125.0</v>
      </c>
      <c r="B6" s="4" t="s">
        <v>29</v>
      </c>
      <c r="C6" s="4" t="s">
        <v>30</v>
      </c>
      <c r="D6" s="3">
        <v>25.0</v>
      </c>
      <c r="E6" s="4" t="s">
        <v>31</v>
      </c>
      <c r="F6" s="4" t="s">
        <v>21</v>
      </c>
      <c r="G6" s="3">
        <v>74.0</v>
      </c>
      <c r="H6" s="2"/>
      <c r="I6" s="2"/>
      <c r="J6" s="4" t="s">
        <v>26</v>
      </c>
      <c r="K6" s="2">
        <f>sumif(F2:F21,"ML",G2:G21)</f>
        <v>398</v>
      </c>
      <c r="L6" s="4" t="s">
        <v>68</v>
      </c>
      <c r="M6" s="23"/>
      <c r="N6" s="23"/>
      <c r="O6" s="23"/>
      <c r="P6" s="2"/>
      <c r="Q6" s="2"/>
      <c r="R6" s="2"/>
    </row>
    <row r="7">
      <c r="A7" s="3">
        <v>126.0</v>
      </c>
      <c r="B7" s="4" t="s">
        <v>34</v>
      </c>
      <c r="C7" s="4" t="s">
        <v>35</v>
      </c>
      <c r="D7" s="3">
        <v>24.0</v>
      </c>
      <c r="E7" s="4" t="s">
        <v>9</v>
      </c>
      <c r="F7" s="4" t="s">
        <v>26</v>
      </c>
      <c r="G7" s="3">
        <v>81.0</v>
      </c>
      <c r="H7" s="2"/>
      <c r="I7" s="2"/>
      <c r="J7" s="4" t="s">
        <v>58</v>
      </c>
      <c r="K7" s="2">
        <f>sumif(F2:F21,"Power BI",G2:G21)</f>
        <v>165</v>
      </c>
      <c r="L7" s="4" t="s">
        <v>70</v>
      </c>
      <c r="M7" s="23"/>
      <c r="N7" s="23"/>
      <c r="O7" s="23"/>
      <c r="P7" s="2"/>
      <c r="Q7" s="2"/>
      <c r="R7" s="2"/>
    </row>
    <row r="8">
      <c r="A8" s="3">
        <v>127.0</v>
      </c>
      <c r="B8" s="4" t="s">
        <v>38</v>
      </c>
      <c r="C8" s="4" t="s">
        <v>39</v>
      </c>
      <c r="D8" s="3">
        <v>23.0</v>
      </c>
      <c r="E8" s="4" t="s">
        <v>13</v>
      </c>
      <c r="F8" s="4" t="s">
        <v>10</v>
      </c>
      <c r="G8" s="3">
        <v>83.0</v>
      </c>
      <c r="H8" s="2"/>
      <c r="I8" s="2"/>
      <c r="J8" s="4" t="s">
        <v>21</v>
      </c>
      <c r="K8" s="2">
        <f>sumif(F2:F21,"SQL",G2:G21)</f>
        <v>308</v>
      </c>
      <c r="L8" s="4" t="s">
        <v>72</v>
      </c>
      <c r="M8" s="23"/>
      <c r="N8" s="23"/>
      <c r="O8" s="23"/>
      <c r="P8" s="2"/>
      <c r="Q8" s="2"/>
      <c r="R8" s="2"/>
    </row>
    <row r="9">
      <c r="A9" s="3">
        <v>128.0</v>
      </c>
      <c r="B9" s="4" t="s">
        <v>42</v>
      </c>
      <c r="C9" s="4" t="s">
        <v>19</v>
      </c>
      <c r="D9" s="3">
        <v>24.0</v>
      </c>
      <c r="E9" s="4" t="s">
        <v>31</v>
      </c>
      <c r="F9" s="4" t="s">
        <v>14</v>
      </c>
      <c r="G9" s="3">
        <v>80.0</v>
      </c>
      <c r="H9" s="2"/>
      <c r="I9" s="2"/>
      <c r="J9" s="4" t="s">
        <v>14</v>
      </c>
      <c r="K9" s="2">
        <f>sumif(F2:F21,"Tableau",G2:G21)</f>
        <v>222</v>
      </c>
      <c r="L9" s="4" t="s">
        <v>77</v>
      </c>
      <c r="M9" s="23"/>
      <c r="N9" s="23"/>
      <c r="O9" s="23"/>
      <c r="P9" s="2"/>
      <c r="Q9" s="2"/>
      <c r="R9" s="2"/>
    </row>
    <row r="10">
      <c r="A10" s="3">
        <v>129.0</v>
      </c>
      <c r="B10" s="4" t="s">
        <v>56</v>
      </c>
      <c r="C10" s="4" t="s">
        <v>57</v>
      </c>
      <c r="D10" s="3">
        <v>25.0</v>
      </c>
      <c r="E10" s="4" t="s">
        <v>20</v>
      </c>
      <c r="F10" s="4" t="s">
        <v>58</v>
      </c>
      <c r="G10" s="3">
        <v>74.0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</row>
    <row r="11">
      <c r="A11" s="3">
        <v>130.0</v>
      </c>
      <c r="B11" s="4" t="s">
        <v>62</v>
      </c>
      <c r="C11" s="2"/>
      <c r="D11" s="3">
        <v>27.0</v>
      </c>
      <c r="E11" s="4" t="s">
        <v>13</v>
      </c>
      <c r="F11" s="4" t="s">
        <v>26</v>
      </c>
      <c r="G11" s="3">
        <v>47.0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</row>
    <row r="12">
      <c r="A12" s="3">
        <v>131.0</v>
      </c>
      <c r="B12" s="4" t="s">
        <v>67</v>
      </c>
      <c r="C12" s="4" t="s">
        <v>8</v>
      </c>
      <c r="D12" s="3">
        <v>28.0</v>
      </c>
      <c r="E12" s="4" t="s">
        <v>20</v>
      </c>
      <c r="F12" s="4" t="s">
        <v>58</v>
      </c>
      <c r="G12" s="3">
        <v>91.0</v>
      </c>
      <c r="H12" s="2"/>
      <c r="I12" s="2"/>
      <c r="J12" s="14" t="s">
        <v>82</v>
      </c>
      <c r="K12" s="4" t="s">
        <v>61</v>
      </c>
      <c r="L12" s="2"/>
      <c r="M12" s="2"/>
      <c r="N12" s="2"/>
      <c r="O12" s="2"/>
      <c r="P12" s="2"/>
      <c r="Q12" s="2"/>
      <c r="R12" s="2"/>
    </row>
    <row r="13">
      <c r="A13" s="3">
        <v>132.0</v>
      </c>
      <c r="B13" s="4" t="s">
        <v>74</v>
      </c>
      <c r="C13" s="4" t="s">
        <v>75</v>
      </c>
      <c r="D13" s="3">
        <v>26.0</v>
      </c>
      <c r="E13" s="4" t="s">
        <v>31</v>
      </c>
      <c r="F13" s="4" t="s">
        <v>26</v>
      </c>
      <c r="G13" s="3">
        <v>72.0</v>
      </c>
      <c r="H13" s="2"/>
      <c r="I13" s="2"/>
      <c r="J13" s="25" t="s">
        <v>83</v>
      </c>
      <c r="Q13" s="2"/>
      <c r="R13" s="2"/>
    </row>
    <row r="14">
      <c r="A14" s="3">
        <v>133.0</v>
      </c>
      <c r="B14" s="4" t="s">
        <v>79</v>
      </c>
      <c r="C14" s="4" t="s">
        <v>80</v>
      </c>
      <c r="D14" s="3">
        <v>23.0</v>
      </c>
      <c r="E14" s="4" t="s">
        <v>9</v>
      </c>
      <c r="F14" s="4" t="s">
        <v>21</v>
      </c>
      <c r="G14" s="3">
        <v>87.0</v>
      </c>
      <c r="H14" s="2"/>
      <c r="I14" s="2"/>
      <c r="J14" s="2">
        <f>SUMIFS(G2:G21,E2:E21,"Mumbai",F2:F21,"ML")</f>
        <v>115</v>
      </c>
      <c r="K14" s="2"/>
      <c r="L14" s="24"/>
      <c r="Q14" s="2"/>
      <c r="R14" s="2"/>
    </row>
    <row r="15">
      <c r="A15" s="3">
        <v>134.0</v>
      </c>
      <c r="B15" s="4" t="s">
        <v>84</v>
      </c>
      <c r="C15" s="4" t="s">
        <v>85</v>
      </c>
      <c r="D15" s="3">
        <v>22.0</v>
      </c>
      <c r="E15" s="4" t="s">
        <v>20</v>
      </c>
      <c r="F15" s="4" t="s">
        <v>14</v>
      </c>
      <c r="G15" s="3">
        <v>79.0</v>
      </c>
      <c r="H15" s="2"/>
      <c r="I15" s="2"/>
      <c r="J15" s="25" t="s">
        <v>88</v>
      </c>
      <c r="Q15" s="2"/>
      <c r="R15" s="2"/>
    </row>
    <row r="16">
      <c r="A16" s="3">
        <v>135.0</v>
      </c>
      <c r="B16" s="4" t="s">
        <v>87</v>
      </c>
      <c r="C16" s="2"/>
      <c r="D16" s="3">
        <v>24.0</v>
      </c>
      <c r="E16" s="4" t="s">
        <v>9</v>
      </c>
      <c r="F16" s="4" t="s">
        <v>26</v>
      </c>
      <c r="G16" s="3">
        <v>81.0</v>
      </c>
      <c r="H16" s="2"/>
      <c r="I16" s="2"/>
      <c r="J16" s="2">
        <f>SUMIFS(G2:G21,E2:E21,"Pune",G2:G21,"&lt;80")</f>
        <v>149</v>
      </c>
      <c r="K16" s="2"/>
      <c r="L16" s="24"/>
      <c r="Q16" s="2"/>
      <c r="R16" s="2"/>
    </row>
    <row r="17">
      <c r="A17" s="3">
        <v>136.0</v>
      </c>
      <c r="B17" s="4" t="s">
        <v>89</v>
      </c>
      <c r="C17" s="4" t="s">
        <v>90</v>
      </c>
      <c r="D17" s="3">
        <v>25.0</v>
      </c>
      <c r="E17" s="4" t="s">
        <v>13</v>
      </c>
      <c r="F17" s="4" t="s">
        <v>10</v>
      </c>
      <c r="G17" s="3">
        <v>56.0</v>
      </c>
      <c r="H17" s="2"/>
      <c r="I17" s="2"/>
      <c r="J17" s="25" t="s">
        <v>91</v>
      </c>
      <c r="Q17" s="2"/>
      <c r="R17" s="2"/>
    </row>
    <row r="18">
      <c r="A18" s="3">
        <v>137.0</v>
      </c>
      <c r="B18" s="4" t="s">
        <v>92</v>
      </c>
      <c r="C18" s="4" t="s">
        <v>75</v>
      </c>
      <c r="D18" s="3">
        <v>21.0</v>
      </c>
      <c r="E18" s="4" t="s">
        <v>31</v>
      </c>
      <c r="F18" s="4" t="s">
        <v>26</v>
      </c>
      <c r="G18" s="3">
        <v>49.0</v>
      </c>
      <c r="H18" s="2"/>
      <c r="I18" s="2"/>
      <c r="J18" s="2">
        <f>SUMIFS(G:G,C:C,"*A",F:F,"ML")</f>
        <v>68</v>
      </c>
      <c r="K18" s="2"/>
      <c r="L18" s="24"/>
      <c r="Q18" s="2"/>
      <c r="R18" s="2"/>
    </row>
    <row r="19">
      <c r="A19" s="3">
        <v>138.0</v>
      </c>
      <c r="B19" s="4" t="s">
        <v>95</v>
      </c>
      <c r="C19" s="4" t="s">
        <v>8</v>
      </c>
      <c r="D19" s="3">
        <v>26.0</v>
      </c>
      <c r="E19" s="4" t="s">
        <v>76</v>
      </c>
      <c r="F19" s="4" t="s">
        <v>10</v>
      </c>
      <c r="G19" s="3">
        <v>73.0</v>
      </c>
      <c r="H19" s="2"/>
      <c r="I19" s="2"/>
      <c r="J19" s="25" t="s">
        <v>96</v>
      </c>
      <c r="Q19" s="2"/>
      <c r="R19" s="2"/>
    </row>
    <row r="20">
      <c r="A20" s="3">
        <v>139.0</v>
      </c>
      <c r="B20" s="4" t="s">
        <v>97</v>
      </c>
      <c r="C20" s="4" t="s">
        <v>12</v>
      </c>
      <c r="D20" s="3">
        <v>24.0</v>
      </c>
      <c r="E20" s="4" t="s">
        <v>76</v>
      </c>
      <c r="F20" s="4" t="s">
        <v>21</v>
      </c>
      <c r="G20" s="3">
        <v>76.0</v>
      </c>
      <c r="H20" s="2"/>
      <c r="I20" s="2"/>
      <c r="J20" s="2">
        <f>COUNTIF(F2:F21,"Python")+COUNTIF(F2:F21,"ML")</f>
        <v>11</v>
      </c>
      <c r="K20" s="2"/>
      <c r="L20" s="24"/>
    </row>
    <row r="21">
      <c r="A21" s="3">
        <v>140.0</v>
      </c>
      <c r="B21" s="4" t="s">
        <v>100</v>
      </c>
      <c r="C21" s="4" t="s">
        <v>8</v>
      </c>
      <c r="D21" s="3">
        <v>23.0</v>
      </c>
      <c r="E21" s="4" t="s">
        <v>20</v>
      </c>
      <c r="F21" s="4" t="s">
        <v>10</v>
      </c>
      <c r="G21" s="3">
        <v>82.0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>
      <c r="A22" s="2"/>
      <c r="B22" s="2"/>
      <c r="C22" s="2"/>
      <c r="D22" s="2"/>
      <c r="E22" s="2"/>
      <c r="F22" s="2"/>
      <c r="G22" s="2"/>
      <c r="H22" s="31"/>
      <c r="J22" s="2"/>
      <c r="K22" s="2"/>
      <c r="L22" s="2"/>
      <c r="M22" s="2"/>
      <c r="N22" s="2"/>
      <c r="O22" s="2"/>
      <c r="P22" s="2"/>
      <c r="Q22" s="2"/>
      <c r="R22" s="2"/>
    </row>
  </sheetData>
  <mergeCells count="11">
    <mergeCell ref="L18:P18"/>
    <mergeCell ref="J19:P19"/>
    <mergeCell ref="L20:R20"/>
    <mergeCell ref="H22:I22"/>
    <mergeCell ref="J3:L3"/>
    <mergeCell ref="L4:M4"/>
    <mergeCell ref="J13:P13"/>
    <mergeCell ref="L14:P14"/>
    <mergeCell ref="J15:P15"/>
    <mergeCell ref="L16:P16"/>
    <mergeCell ref="J17:P1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>
        <v>121.0</v>
      </c>
      <c r="B2" s="4" t="s">
        <v>7</v>
      </c>
      <c r="C2" s="4" t="s">
        <v>8</v>
      </c>
      <c r="D2" s="3">
        <v>22.0</v>
      </c>
      <c r="E2" s="4" t="s">
        <v>9</v>
      </c>
      <c r="F2" s="4" t="s">
        <v>10</v>
      </c>
      <c r="G2" s="3">
        <v>60.0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>
      <c r="A3" s="3">
        <v>122.0</v>
      </c>
      <c r="B3" s="4" t="s">
        <v>11</v>
      </c>
      <c r="C3" s="4" t="s">
        <v>12</v>
      </c>
      <c r="D3" s="3">
        <v>23.0</v>
      </c>
      <c r="E3" s="4" t="s">
        <v>13</v>
      </c>
      <c r="F3" s="4" t="s">
        <v>14</v>
      </c>
      <c r="G3" s="3">
        <v>80.0</v>
      </c>
      <c r="H3" s="2"/>
      <c r="I3" s="5" t="s">
        <v>4</v>
      </c>
      <c r="J3" s="5" t="s">
        <v>46</v>
      </c>
      <c r="K3" s="2"/>
      <c r="L3" s="2"/>
      <c r="M3" s="4" t="s">
        <v>49</v>
      </c>
      <c r="N3" s="2"/>
      <c r="O3" s="2"/>
      <c r="P3" s="2"/>
      <c r="Q3" s="2"/>
      <c r="R3" s="2"/>
    </row>
    <row r="4">
      <c r="A4" s="3">
        <v>123.0</v>
      </c>
      <c r="B4" s="4" t="s">
        <v>18</v>
      </c>
      <c r="C4" s="4" t="s">
        <v>19</v>
      </c>
      <c r="D4" s="3">
        <v>24.0</v>
      </c>
      <c r="E4" s="4" t="s">
        <v>20</v>
      </c>
      <c r="F4" s="4" t="s">
        <v>21</v>
      </c>
      <c r="G4" s="3">
        <v>71.0</v>
      </c>
      <c r="H4" s="2"/>
      <c r="I4" s="4" t="s">
        <v>13</v>
      </c>
      <c r="J4" s="2">
        <f>AVERAGEIFS(G2:G21,E2:E21,"Mumbai")</f>
        <v>79.8</v>
      </c>
      <c r="K4" s="2"/>
      <c r="L4" s="2"/>
      <c r="M4" s="2">
        <f>AVERAGEIFS(G2:G21,E2:E21,"Delhi",D2:D21,"&gt;22")</f>
        <v>86</v>
      </c>
      <c r="N4" s="2"/>
      <c r="O4" s="2"/>
      <c r="P4" s="2"/>
      <c r="Q4" s="2"/>
      <c r="R4" s="2"/>
    </row>
    <row r="5">
      <c r="A5" s="3">
        <v>124.0</v>
      </c>
      <c r="B5" s="4" t="s">
        <v>24</v>
      </c>
      <c r="C5" s="4" t="s">
        <v>25</v>
      </c>
      <c r="D5" s="3">
        <v>21.0</v>
      </c>
      <c r="E5" s="4" t="s">
        <v>13</v>
      </c>
      <c r="F5" s="4" t="s">
        <v>26</v>
      </c>
      <c r="G5" s="3">
        <v>90.0</v>
      </c>
      <c r="H5" s="2"/>
      <c r="I5" s="4" t="s">
        <v>9</v>
      </c>
      <c r="J5" s="2">
        <f>AVERAGEIFS(G2:G21,E2:E21,"Delhi")</f>
        <v>79.5</v>
      </c>
      <c r="K5" s="2"/>
      <c r="L5" s="2"/>
      <c r="M5" s="4" t="s">
        <v>69</v>
      </c>
      <c r="N5" s="2"/>
      <c r="O5" s="2"/>
      <c r="P5" s="2"/>
      <c r="Q5" s="2"/>
      <c r="R5" s="2"/>
    </row>
    <row r="6">
      <c r="A6" s="3">
        <v>125.0</v>
      </c>
      <c r="B6" s="4" t="s">
        <v>29</v>
      </c>
      <c r="C6" s="4" t="s">
        <v>30</v>
      </c>
      <c r="D6" s="3">
        <v>25.0</v>
      </c>
      <c r="E6" s="4" t="s">
        <v>31</v>
      </c>
      <c r="F6" s="4" t="s">
        <v>21</v>
      </c>
      <c r="G6" s="3">
        <v>74.0</v>
      </c>
      <c r="H6" s="2"/>
      <c r="I6" s="4" t="s">
        <v>20</v>
      </c>
      <c r="J6" s="2">
        <f>AVERAGEIFS(G2:G21,E2:E21,"Noida")</f>
        <v>79.4</v>
      </c>
      <c r="K6" s="2"/>
      <c r="L6" s="2"/>
      <c r="M6" s="2" t="str">
        <f>AVERAGEIFS(G:G,E:E,"*I",F:F,"MI")</f>
        <v>#DIV/0!</v>
      </c>
      <c r="N6" s="2"/>
      <c r="O6" s="2"/>
      <c r="P6" s="2"/>
      <c r="Q6" s="2"/>
      <c r="R6" s="2"/>
    </row>
    <row r="7">
      <c r="A7" s="3">
        <v>126.0</v>
      </c>
      <c r="B7" s="4" t="s">
        <v>34</v>
      </c>
      <c r="C7" s="4" t="s">
        <v>35</v>
      </c>
      <c r="D7" s="3">
        <v>24.0</v>
      </c>
      <c r="E7" s="4" t="s">
        <v>9</v>
      </c>
      <c r="F7" s="4" t="s">
        <v>26</v>
      </c>
      <c r="G7" s="3">
        <v>81.0</v>
      </c>
      <c r="H7" s="2"/>
      <c r="I7" s="4" t="s">
        <v>31</v>
      </c>
      <c r="J7" s="2">
        <f>AVERAGEIFS(G2:G21,E2:E21,"Bangalore")</f>
        <v>68.75</v>
      </c>
      <c r="K7" s="2"/>
      <c r="L7" s="2"/>
      <c r="M7" s="4" t="s">
        <v>73</v>
      </c>
      <c r="N7" s="2"/>
      <c r="O7" s="2"/>
      <c r="P7" s="2"/>
      <c r="Q7" s="2"/>
      <c r="R7" s="2"/>
    </row>
    <row r="8">
      <c r="A8" s="3">
        <v>127.0</v>
      </c>
      <c r="B8" s="4" t="s">
        <v>38</v>
      </c>
      <c r="C8" s="4" t="s">
        <v>39</v>
      </c>
      <c r="D8" s="3">
        <v>23.0</v>
      </c>
      <c r="E8" s="4" t="s">
        <v>13</v>
      </c>
      <c r="F8" s="4" t="s">
        <v>10</v>
      </c>
      <c r="G8" s="3">
        <v>83.0</v>
      </c>
      <c r="H8" s="2"/>
      <c r="I8" s="4" t="s">
        <v>76</v>
      </c>
      <c r="J8" s="2">
        <f>AVERAGEIFS(G2:G21,E2:E21,"Pune")</f>
        <v>74.5</v>
      </c>
      <c r="K8" s="2"/>
      <c r="L8" s="2"/>
      <c r="M8" s="2">
        <f>AVERAGEIFS(G:G,D:D,"&lt;25",B:B,"A*")</f>
        <v>74</v>
      </c>
      <c r="N8" s="2"/>
      <c r="O8" s="2"/>
      <c r="P8" s="2"/>
      <c r="Q8" s="2"/>
      <c r="R8" s="2"/>
    </row>
    <row r="9">
      <c r="A9" s="3">
        <v>128.0</v>
      </c>
      <c r="B9" s="4" t="s">
        <v>42</v>
      </c>
      <c r="C9" s="4" t="s">
        <v>19</v>
      </c>
      <c r="D9" s="3">
        <v>24.0</v>
      </c>
      <c r="E9" s="4" t="s">
        <v>31</v>
      </c>
      <c r="F9" s="4" t="s">
        <v>14</v>
      </c>
      <c r="G9" s="3">
        <v>80.0</v>
      </c>
      <c r="H9" s="2"/>
      <c r="I9" s="2"/>
      <c r="J9" s="2"/>
      <c r="K9" s="2"/>
      <c r="L9" s="2"/>
      <c r="M9" s="4" t="s">
        <v>81</v>
      </c>
      <c r="N9" s="2"/>
      <c r="O9" s="2"/>
      <c r="P9" s="2"/>
      <c r="Q9" s="2"/>
      <c r="R9" s="2"/>
    </row>
    <row r="10">
      <c r="A10" s="3">
        <v>129.0</v>
      </c>
      <c r="B10" s="4" t="s">
        <v>56</v>
      </c>
      <c r="C10" s="4" t="s">
        <v>57</v>
      </c>
      <c r="D10" s="3">
        <v>25.0</v>
      </c>
      <c r="E10" s="4" t="s">
        <v>20</v>
      </c>
      <c r="F10" s="4" t="s">
        <v>58</v>
      </c>
      <c r="G10" s="3">
        <v>74.0</v>
      </c>
      <c r="H10" s="2"/>
      <c r="I10" s="2"/>
      <c r="J10" s="2"/>
      <c r="K10" s="2"/>
      <c r="L10" s="2"/>
      <c r="M10" s="2">
        <f>AVERAGEIFS(G2:G21,D2:D21,"&gt;=23",D2:D21,"&lt;=24")</f>
        <v>81.11111111</v>
      </c>
      <c r="N10" s="2"/>
      <c r="O10" s="2"/>
      <c r="P10" s="2"/>
      <c r="Q10" s="2"/>
      <c r="R10" s="2"/>
    </row>
    <row r="11">
      <c r="A11" s="3">
        <v>130.0</v>
      </c>
      <c r="B11" s="4" t="s">
        <v>62</v>
      </c>
      <c r="C11" s="2"/>
      <c r="D11" s="3">
        <v>27.0</v>
      </c>
      <c r="E11" s="4" t="s">
        <v>13</v>
      </c>
      <c r="F11" s="4" t="s">
        <v>26</v>
      </c>
      <c r="G11" s="3">
        <v>90.0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</row>
    <row r="12">
      <c r="A12" s="3">
        <v>131.0</v>
      </c>
      <c r="B12" s="4" t="s">
        <v>67</v>
      </c>
      <c r="C12" s="4" t="s">
        <v>8</v>
      </c>
      <c r="D12" s="3">
        <v>28.0</v>
      </c>
      <c r="E12" s="4" t="s">
        <v>20</v>
      </c>
      <c r="F12" s="4" t="s">
        <v>58</v>
      </c>
      <c r="G12" s="3">
        <v>91.0</v>
      </c>
      <c r="H12" s="2"/>
      <c r="I12" s="5" t="s">
        <v>5</v>
      </c>
      <c r="J12" s="5" t="s">
        <v>46</v>
      </c>
      <c r="K12" s="2"/>
      <c r="L12" s="2"/>
      <c r="M12" s="2"/>
      <c r="N12" s="2"/>
      <c r="O12" s="2"/>
      <c r="P12" s="2"/>
      <c r="Q12" s="2"/>
      <c r="R12" s="2"/>
    </row>
    <row r="13">
      <c r="A13" s="3">
        <v>132.0</v>
      </c>
      <c r="B13" s="4" t="s">
        <v>74</v>
      </c>
      <c r="C13" s="4" t="s">
        <v>75</v>
      </c>
      <c r="D13" s="3">
        <v>26.0</v>
      </c>
      <c r="E13" s="4" t="s">
        <v>31</v>
      </c>
      <c r="F13" s="4" t="s">
        <v>26</v>
      </c>
      <c r="G13" s="3">
        <v>72.0</v>
      </c>
      <c r="H13" s="2"/>
      <c r="I13" s="4" t="s">
        <v>10</v>
      </c>
      <c r="J13" s="2">
        <f>AVERAGEIFS(G2:G21,F2:F21,"Python")</f>
        <v>70.8</v>
      </c>
      <c r="K13" s="2"/>
      <c r="L13" s="2"/>
      <c r="M13" s="2"/>
      <c r="N13" s="2"/>
      <c r="O13" s="2"/>
      <c r="P13" s="2"/>
      <c r="Q13" s="2"/>
      <c r="R13" s="2"/>
    </row>
    <row r="14">
      <c r="A14" s="3">
        <v>133.0</v>
      </c>
      <c r="B14" s="4" t="s">
        <v>79</v>
      </c>
      <c r="C14" s="4" t="s">
        <v>80</v>
      </c>
      <c r="D14" s="3">
        <v>23.0</v>
      </c>
      <c r="E14" s="4" t="s">
        <v>9</v>
      </c>
      <c r="F14" s="4" t="s">
        <v>21</v>
      </c>
      <c r="G14" s="3">
        <v>87.0</v>
      </c>
      <c r="H14" s="2"/>
      <c r="I14" s="4" t="s">
        <v>14</v>
      </c>
      <c r="J14" s="2">
        <f>AVERAGEIFS(G2:G21,F2:F21,"Tableau")</f>
        <v>79.66666667</v>
      </c>
      <c r="K14" s="2"/>
      <c r="L14" s="2"/>
      <c r="M14" s="2"/>
      <c r="N14" s="2"/>
      <c r="O14" s="2"/>
      <c r="P14" s="2"/>
      <c r="Q14" s="2"/>
      <c r="R14" s="2"/>
    </row>
    <row r="15">
      <c r="A15" s="3">
        <v>134.0</v>
      </c>
      <c r="B15" s="4" t="s">
        <v>84</v>
      </c>
      <c r="C15" s="4" t="s">
        <v>85</v>
      </c>
      <c r="D15" s="3">
        <v>22.0</v>
      </c>
      <c r="E15" s="4" t="s">
        <v>20</v>
      </c>
      <c r="F15" s="4" t="s">
        <v>14</v>
      </c>
      <c r="G15" s="3">
        <v>79.0</v>
      </c>
      <c r="H15" s="2"/>
      <c r="I15" s="4" t="s">
        <v>21</v>
      </c>
      <c r="J15" s="2">
        <f>AVERAGEIFS(G2:G21,F2:F21,"SQL")</f>
        <v>77</v>
      </c>
      <c r="K15" s="2"/>
      <c r="L15" s="2"/>
      <c r="M15" s="2"/>
      <c r="N15" s="2"/>
      <c r="O15" s="2"/>
      <c r="P15" s="2"/>
      <c r="Q15" s="2"/>
      <c r="R15" s="2"/>
    </row>
    <row r="16">
      <c r="A16" s="3">
        <v>135.0</v>
      </c>
      <c r="B16" s="4" t="s">
        <v>87</v>
      </c>
      <c r="C16" s="2"/>
      <c r="D16" s="3">
        <v>24.0</v>
      </c>
      <c r="E16" s="4" t="s">
        <v>9</v>
      </c>
      <c r="F16" s="4" t="s">
        <v>26</v>
      </c>
      <c r="G16" s="3">
        <v>90.0</v>
      </c>
      <c r="H16" s="2"/>
      <c r="I16" s="4" t="s">
        <v>26</v>
      </c>
      <c r="J16" s="2">
        <f>AVERAGEIFS(G2:G21,F2:F21,"ML")</f>
        <v>78.66666667</v>
      </c>
      <c r="K16" s="2"/>
      <c r="L16" s="2"/>
      <c r="M16" s="2"/>
      <c r="N16" s="2"/>
      <c r="O16" s="2"/>
      <c r="P16" s="2"/>
      <c r="Q16" s="2"/>
      <c r="R16" s="2"/>
    </row>
    <row r="17">
      <c r="A17" s="3">
        <v>136.0</v>
      </c>
      <c r="B17" s="4" t="s">
        <v>89</v>
      </c>
      <c r="C17" s="4" t="s">
        <v>90</v>
      </c>
      <c r="D17" s="3">
        <v>25.0</v>
      </c>
      <c r="E17" s="4" t="s">
        <v>13</v>
      </c>
      <c r="F17" s="4" t="s">
        <v>10</v>
      </c>
      <c r="G17" s="3">
        <v>56.0</v>
      </c>
      <c r="H17" s="2"/>
      <c r="I17" s="4" t="s">
        <v>58</v>
      </c>
      <c r="J17" s="2">
        <f>AVERAGEIFS(G2:G21,F2:F21,"Power BI")</f>
        <v>82.5</v>
      </c>
      <c r="K17" s="2"/>
      <c r="L17" s="2"/>
      <c r="M17" s="2"/>
      <c r="N17" s="2"/>
      <c r="O17" s="2"/>
      <c r="P17" s="2"/>
      <c r="Q17" s="2"/>
      <c r="R17" s="2"/>
    </row>
    <row r="18">
      <c r="A18" s="3">
        <v>137.0</v>
      </c>
      <c r="B18" s="4" t="s">
        <v>92</v>
      </c>
      <c r="C18" s="4" t="s">
        <v>75</v>
      </c>
      <c r="D18" s="3">
        <v>21.0</v>
      </c>
      <c r="E18" s="4" t="s">
        <v>31</v>
      </c>
      <c r="F18" s="4" t="s">
        <v>26</v>
      </c>
      <c r="G18" s="3">
        <v>49.0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</row>
    <row r="19">
      <c r="A19" s="3">
        <v>138.0</v>
      </c>
      <c r="B19" s="4" t="s">
        <v>95</v>
      </c>
      <c r="C19" s="4" t="s">
        <v>8</v>
      </c>
      <c r="D19" s="3">
        <v>26.0</v>
      </c>
      <c r="E19" s="4" t="s">
        <v>76</v>
      </c>
      <c r="F19" s="4" t="s">
        <v>10</v>
      </c>
      <c r="G19" s="3">
        <v>73.0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</row>
    <row r="20">
      <c r="A20" s="3">
        <v>139.0</v>
      </c>
      <c r="B20" s="4" t="s">
        <v>97</v>
      </c>
      <c r="C20" s="4" t="s">
        <v>12</v>
      </c>
      <c r="D20" s="3">
        <v>24.0</v>
      </c>
      <c r="E20" s="4" t="s">
        <v>76</v>
      </c>
      <c r="F20" s="4" t="s">
        <v>21</v>
      </c>
      <c r="G20" s="3">
        <v>76.0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>
      <c r="A21" s="3">
        <v>140.0</v>
      </c>
      <c r="B21" s="4" t="s">
        <v>100</v>
      </c>
      <c r="C21" s="4" t="s">
        <v>8</v>
      </c>
      <c r="D21" s="3">
        <v>23.0</v>
      </c>
      <c r="E21" s="4" t="s">
        <v>20</v>
      </c>
      <c r="F21" s="4" t="s">
        <v>10</v>
      </c>
      <c r="G21" s="3">
        <v>82.0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</sheetData>
  <drawing r:id="rId1"/>
</worksheet>
</file>