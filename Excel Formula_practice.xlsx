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Product_Catalog" sheetId="2" r:id="rId6"/>
    <sheet state="visible" name="Assignment_Tasks" sheetId="3" r:id="rId7"/>
  </sheets>
  <definedNames/>
  <calcPr/>
</workbook>
</file>

<file path=xl/sharedStrings.xml><?xml version="1.0" encoding="utf-8"?>
<sst xmlns="http://schemas.openxmlformats.org/spreadsheetml/2006/main" count="148" uniqueCount="103">
  <si>
    <t>Product Reference Catalog &amp; Discount Schedules</t>
  </si>
  <si>
    <t>Global Tech Retailers - Sales Transactions Log</t>
  </si>
  <si>
    <t>Table A: Product Master Catalog (Vertical)</t>
  </si>
  <si>
    <t>Product_ID</t>
  </si>
  <si>
    <t>Txn_ID</t>
  </si>
  <si>
    <t>Category</t>
  </si>
  <si>
    <t>Product_Name</t>
  </si>
  <si>
    <t>Supplier</t>
  </si>
  <si>
    <t>Date</t>
  </si>
  <si>
    <t>Region</t>
  </si>
  <si>
    <t>Sales_Rep</t>
  </si>
  <si>
    <t>P-01</t>
  </si>
  <si>
    <t>Units_Sold</t>
  </si>
  <si>
    <t>Unit_Price</t>
  </si>
  <si>
    <t>Customer_Rating</t>
  </si>
  <si>
    <t>Product_Name (Task 5)</t>
  </si>
  <si>
    <t>Discount_Rate (Task 6)</t>
  </si>
  <si>
    <t>TXN-101</t>
  </si>
  <si>
    <t>Electronics</t>
  </si>
  <si>
    <t>Laptop Pro</t>
  </si>
  <si>
    <t>TechCorp</t>
  </si>
  <si>
    <t>P-02</t>
  </si>
  <si>
    <t>North</t>
  </si>
  <si>
    <t>Sarah</t>
  </si>
  <si>
    <t>$1,200</t>
  </si>
  <si>
    <t>Tablet Air</t>
  </si>
  <si>
    <t>PadMaker</t>
  </si>
  <si>
    <t>P-03</t>
  </si>
  <si>
    <t>Accessories</t>
  </si>
  <si>
    <t>Wireless Mouse</t>
  </si>
  <si>
    <t>LogiGear</t>
  </si>
  <si>
    <t>P-04</t>
  </si>
  <si>
    <t>USB Cable</t>
  </si>
  <si>
    <t>CableMax</t>
  </si>
  <si>
    <t>P-05</t>
  </si>
  <si>
    <t>Office</t>
  </si>
  <si>
    <t>Ergonomic Chair</t>
  </si>
  <si>
    <t>ComfortPlus</t>
  </si>
  <si>
    <t>Table B: Volume Discount Matrix (Horizontal)</t>
  </si>
  <si>
    <t>Excel Aggregate &amp; Lookup Function Practice Assignment</t>
  </si>
  <si>
    <t>Discount Rate</t>
  </si>
  <si>
    <t>Task ID</t>
  </si>
  <si>
    <t>Category / Topic</t>
  </si>
  <si>
    <t>Task Question / Objective</t>
  </si>
  <si>
    <t>Your Formula Here</t>
  </si>
  <si>
    <t>Expected Output</t>
  </si>
  <si>
    <t>Task 1A</t>
  </si>
  <si>
    <t>Counting Functions</t>
  </si>
  <si>
    <t>Count the total number of numeric entries in Units_Sold column.</t>
  </si>
  <si>
    <t>TXN-102</t>
  </si>
  <si>
    <t>East</t>
  </si>
  <si>
    <t>Raj</t>
  </si>
  <si>
    <t>$800</t>
  </si>
  <si>
    <t>TXN-103</t>
  </si>
  <si>
    <t>$150</t>
  </si>
  <si>
    <t>Task 1B</t>
  </si>
  <si>
    <t>Count total non-empty transactions in Txn_ID column.</t>
  </si>
  <si>
    <t>TXN-104</t>
  </si>
  <si>
    <t>Task 1C</t>
  </si>
  <si>
    <t>West</t>
  </si>
  <si>
    <t>Count how many transactions have missing (blank) Customer_Rating.</t>
  </si>
  <si>
    <t>Amit</t>
  </si>
  <si>
    <t>Task 2A</t>
  </si>
  <si>
    <t>Conditional Counting</t>
  </si>
  <si>
    <t>Count how many transactions were completed by sales rep 'Sarah'.</t>
  </si>
  <si>
    <t>Task 2B</t>
  </si>
  <si>
    <t>TXN-105</t>
  </si>
  <si>
    <t>Count transactions in 'North' region where Units_Sold is greater than 5.</t>
  </si>
  <si>
    <t>South</t>
  </si>
  <si>
    <t>Priya</t>
  </si>
  <si>
    <t>$45</t>
  </si>
  <si>
    <t>Task 3A</t>
  </si>
  <si>
    <t>Aggregations &amp; Math</t>
  </si>
  <si>
    <t>Calculate the overall average Units_Sold across all recorded sales.</t>
  </si>
  <si>
    <t>TXN-106</t>
  </si>
  <si>
    <t>Task 3B</t>
  </si>
  <si>
    <t>Calculate total Units_Sold only for Product_ID 'P-01'.</t>
  </si>
  <si>
    <t>Task 3C</t>
  </si>
  <si>
    <t>TXN-107</t>
  </si>
  <si>
    <t>Calculate total Units_Sold by 'Amit' in the 'West' region.</t>
  </si>
  <si>
    <t>Task 4A</t>
  </si>
  <si>
    <t>TXN-108</t>
  </si>
  <si>
    <t>Target Averages</t>
  </si>
  <si>
    <t>Calculate average Customer_Rating for the 'North' region.</t>
  </si>
  <si>
    <t>Task 4B</t>
  </si>
  <si>
    <t>Calculate average Units_Sold by 'Sarah' for transactions with Customer_Rating &gt;= 4.</t>
  </si>
  <si>
    <t>TXN-109</t>
  </si>
  <si>
    <t>Task 5</t>
  </si>
  <si>
    <t>Vertical Lookups</t>
  </si>
  <si>
    <t>Populate Product_Name in Sales_Data column I using VLOOKUP.</t>
  </si>
  <si>
    <t>done in Tab 1</t>
  </si>
  <si>
    <t>See Column I in Sales_Data</t>
  </si>
  <si>
    <t>Task 6</t>
  </si>
  <si>
    <t>TXN-110</t>
  </si>
  <si>
    <t>Horizontal Lookups</t>
  </si>
  <si>
    <t>Populate Discount_Rate in Sales_Data column J using HLOOKUP.</t>
  </si>
  <si>
    <t>See Column J in Sales_Data</t>
  </si>
  <si>
    <t>Task 7</t>
  </si>
  <si>
    <t>INDEX &amp; MATCH</t>
  </si>
  <si>
    <t>Write a 2-way INDEX+MATCH to dynamically find Supplier for Product ID 'P-03'.</t>
  </si>
  <si>
    <t>Task 8</t>
  </si>
  <si>
    <t>Reverse INDEX &amp; MATCH</t>
  </si>
  <si>
    <t>Look up Product_ID where Product_Name is 'Ergonomic Chair' (Left Lookup).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</si>
</sst>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6.0"/>
      <color rgb="FF1F4E79"/>
      <name val="Calibri"/>
    </font>
    <font>
      <sz val="11.0"/>
      <color rgb="FF000000"/>
      <name val="Calibri"/>
    </font>
    <font>
      <b/>
      <sz val="13.0"/>
      <color rgb="FF1F4E79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i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4" fontId="4" numFmtId="0" xfId="0" applyAlignment="1" applyBorder="1" applyFill="1" applyFont="1">
      <alignment horizontal="left" readingOrder="0" shrinkToFit="0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0" fontId="2" numFmtId="10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10" xfId="0" applyAlignment="1" applyBorder="1" applyFont="1" applyNumberFormat="1">
      <alignment horizontal="center" readingOrder="0" shrinkToFit="0" wrapText="0"/>
    </xf>
    <xf borderId="1" fillId="3" fontId="2" numFmtId="164" xfId="0" applyAlignment="1" applyBorder="1" applyFill="1" applyFont="1" applyNumberFormat="1">
      <alignment horizontal="center" readingOrder="0" shrinkToFit="0" wrapText="0"/>
    </xf>
    <xf borderId="1" fillId="6" fontId="2" numFmtId="0" xfId="0" applyAlignment="1" applyBorder="1" applyFill="1" applyFont="1">
      <alignment horizontal="left" shrinkToFit="0" wrapText="0"/>
    </xf>
    <xf borderId="1" fillId="0" fontId="2" numFmtId="0" xfId="0" applyAlignment="1" applyBorder="1" applyFont="1">
      <alignment horizontal="center" shrinkToFit="0" wrapText="0"/>
    </xf>
    <xf borderId="1" fillId="3" fontId="5" numFmtId="0" xfId="0" applyAlignment="1" applyBorder="1" applyFill="1" applyFont="1">
      <alignment horizontal="center" readingOrder="0" shrinkToFit="0" wrapText="0"/>
    </xf>
    <xf borderId="1" fillId="6" fontId="2" numFmtId="0" xfId="0" applyAlignment="1" applyBorder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  <col customWidth="1" min="9" max="9" width="18.63"/>
    <col customWidth="1" min="10" max="10" width="18.25"/>
  </cols>
  <sheetData>
    <row r="1">
      <c r="A1" s="1" t="s">
        <v>1</v>
      </c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4" t="s">
        <v>4</v>
      </c>
      <c r="B3" s="4" t="s">
        <v>8</v>
      </c>
      <c r="C3" s="4" t="s">
        <v>3</v>
      </c>
      <c r="D3" s="4" t="s">
        <v>9</v>
      </c>
      <c r="E3" s="4" t="s">
        <v>10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</row>
    <row r="4">
      <c r="A4" s="6" t="s">
        <v>17</v>
      </c>
      <c r="B4" s="8">
        <v>46027.0</v>
      </c>
      <c r="C4" s="6" t="s">
        <v>11</v>
      </c>
      <c r="D4" s="6" t="s">
        <v>22</v>
      </c>
      <c r="E4" s="6" t="s">
        <v>23</v>
      </c>
      <c r="F4" s="6">
        <v>12.0</v>
      </c>
      <c r="G4" s="6" t="s">
        <v>24</v>
      </c>
      <c r="H4" s="6">
        <v>5.0</v>
      </c>
      <c r="I4" s="13" t="str">
        <f>VLOOKUP(C4,Product_Catalog!$A$4:$D$9,3)</f>
        <v>Laptop Pro</v>
      </c>
      <c r="J4" s="15">
        <f>HLOOKUP(C4,Product_Catalog!$A$13:$F$14,2)</f>
        <v>0.1</v>
      </c>
    </row>
    <row r="5">
      <c r="A5" s="5" t="s">
        <v>49</v>
      </c>
      <c r="B5" s="16">
        <v>46029.0</v>
      </c>
      <c r="C5" s="5" t="s">
        <v>21</v>
      </c>
      <c r="D5" s="5" t="s">
        <v>50</v>
      </c>
      <c r="E5" s="5" t="s">
        <v>51</v>
      </c>
      <c r="F5" s="5">
        <v>5.0</v>
      </c>
      <c r="G5" s="5" t="s">
        <v>52</v>
      </c>
      <c r="H5" s="5">
        <v>4.0</v>
      </c>
      <c r="I5" s="13" t="str">
        <f>VLOOKUP(C5,Product_Catalog!$A$4:$D$9,3)</f>
        <v>Tablet Air</v>
      </c>
      <c r="J5" s="15">
        <f>HLOOKUP(C5,Product_Catalog!$A$13:$F$14,2)</f>
        <v>0.05</v>
      </c>
    </row>
    <row r="6">
      <c r="A6" s="6" t="s">
        <v>53</v>
      </c>
      <c r="B6" s="8">
        <v>46032.0</v>
      </c>
      <c r="C6" s="6" t="s">
        <v>27</v>
      </c>
      <c r="D6" s="6" t="s">
        <v>22</v>
      </c>
      <c r="E6" s="6" t="s">
        <v>23</v>
      </c>
      <c r="F6" s="18"/>
      <c r="G6" s="6" t="s">
        <v>54</v>
      </c>
      <c r="H6" s="6">
        <v>3.0</v>
      </c>
      <c r="I6" s="13" t="str">
        <f>VLOOKUP(C6,Product_Catalog!$A$4:$D$9,3)</f>
        <v>Wireless Mouse</v>
      </c>
      <c r="J6" s="15">
        <f>HLOOKUP(C6,Product_Catalog!$A$13:$F$14,2)</f>
        <v>0</v>
      </c>
    </row>
    <row r="7">
      <c r="A7" s="5" t="s">
        <v>57</v>
      </c>
      <c r="B7" s="16">
        <v>46034.0</v>
      </c>
      <c r="C7" s="5" t="s">
        <v>11</v>
      </c>
      <c r="D7" s="5" t="s">
        <v>59</v>
      </c>
      <c r="E7" s="5" t="s">
        <v>61</v>
      </c>
      <c r="F7" s="5">
        <v>8.0</v>
      </c>
      <c r="G7" s="5" t="s">
        <v>24</v>
      </c>
      <c r="H7" s="5">
        <v>5.0</v>
      </c>
      <c r="I7" s="13" t="str">
        <f>VLOOKUP(C7,Product_Catalog!$A$4:$D$9,3)</f>
        <v>Laptop Pro</v>
      </c>
      <c r="J7" s="15">
        <f>HLOOKUP(C7,Product_Catalog!$A$13:$F$14,2)</f>
        <v>0.1</v>
      </c>
    </row>
    <row r="8">
      <c r="A8" s="6" t="s">
        <v>66</v>
      </c>
      <c r="B8" s="8">
        <v>46037.0</v>
      </c>
      <c r="C8" s="6" t="s">
        <v>31</v>
      </c>
      <c r="D8" s="6" t="s">
        <v>68</v>
      </c>
      <c r="E8" s="6" t="s">
        <v>69</v>
      </c>
      <c r="F8" s="6">
        <v>15.0</v>
      </c>
      <c r="G8" s="6" t="s">
        <v>70</v>
      </c>
      <c r="H8" s="18"/>
      <c r="I8" s="13" t="str">
        <f>VLOOKUP(C8,Product_Catalog!$A$4:$D$9,3)</f>
        <v>USB Cable</v>
      </c>
      <c r="J8" s="15">
        <f>HLOOKUP(C8,Product_Catalog!$A$13:$F$14,2)</f>
        <v>0.02</v>
      </c>
    </row>
    <row r="9">
      <c r="A9" s="5" t="s">
        <v>74</v>
      </c>
      <c r="B9" s="16">
        <v>46040.0</v>
      </c>
      <c r="C9" s="5" t="s">
        <v>21</v>
      </c>
      <c r="D9" s="5" t="s">
        <v>22</v>
      </c>
      <c r="E9" s="5" t="s">
        <v>51</v>
      </c>
      <c r="F9" s="5">
        <v>2.0</v>
      </c>
      <c r="G9" s="5" t="s">
        <v>52</v>
      </c>
      <c r="H9" s="5">
        <v>2.0</v>
      </c>
      <c r="I9" s="13" t="str">
        <f>VLOOKUP(C9,Product_Catalog!$A$4:$D$9,3)</f>
        <v>Tablet Air</v>
      </c>
      <c r="J9" s="15">
        <f>HLOOKUP(C9,Product_Catalog!$A$13:$F$14,2)</f>
        <v>0.05</v>
      </c>
    </row>
    <row r="10">
      <c r="A10" s="6" t="s">
        <v>78</v>
      </c>
      <c r="B10" s="8">
        <v>46042.0</v>
      </c>
      <c r="C10" s="6" t="s">
        <v>34</v>
      </c>
      <c r="D10" s="6" t="s">
        <v>59</v>
      </c>
      <c r="E10" s="6" t="s">
        <v>61</v>
      </c>
      <c r="F10" s="6">
        <v>20.0</v>
      </c>
      <c r="G10" s="18"/>
      <c r="H10" s="6">
        <v>4.0</v>
      </c>
      <c r="I10" s="13" t="str">
        <f>VLOOKUP(C10,Product_Catalog!$A$4:$D$9,3)</f>
        <v>Ergonomic Chair</v>
      </c>
      <c r="J10" s="15">
        <f>HLOOKUP(C10,Product_Catalog!$A$13:$F$14,2)</f>
        <v>0.15</v>
      </c>
    </row>
    <row r="11">
      <c r="A11" s="5" t="s">
        <v>81</v>
      </c>
      <c r="B11" s="16">
        <v>46044.0</v>
      </c>
      <c r="C11" s="5" t="s">
        <v>27</v>
      </c>
      <c r="D11" s="5" t="s">
        <v>68</v>
      </c>
      <c r="E11" s="5" t="s">
        <v>69</v>
      </c>
      <c r="F11" s="5">
        <v>10.0</v>
      </c>
      <c r="G11" s="5" t="s">
        <v>54</v>
      </c>
      <c r="H11" s="5">
        <v>5.0</v>
      </c>
      <c r="I11" s="13" t="str">
        <f>VLOOKUP(C11,Product_Catalog!$A$4:$D$9,3)</f>
        <v>Wireless Mouse</v>
      </c>
      <c r="J11" s="15">
        <f>HLOOKUP(C11,Product_Catalog!$A$13:$F$14,2)</f>
        <v>0</v>
      </c>
    </row>
    <row r="12">
      <c r="A12" s="6" t="s">
        <v>86</v>
      </c>
      <c r="B12" s="8">
        <v>46047.0</v>
      </c>
      <c r="C12" s="6" t="s">
        <v>11</v>
      </c>
      <c r="D12" s="6" t="s">
        <v>50</v>
      </c>
      <c r="E12" s="6" t="s">
        <v>23</v>
      </c>
      <c r="F12" s="6">
        <v>4.0</v>
      </c>
      <c r="G12" s="6" t="s">
        <v>24</v>
      </c>
      <c r="H12" s="18"/>
      <c r="I12" s="13" t="str">
        <f>VLOOKUP(C12,Product_Catalog!$A$4:$D$9,3)</f>
        <v>Laptop Pro</v>
      </c>
      <c r="J12" s="15">
        <f>HLOOKUP(C12,Product_Catalog!$A$13:$F$14,2)</f>
        <v>0.1</v>
      </c>
    </row>
    <row r="13">
      <c r="A13" s="5" t="s">
        <v>93</v>
      </c>
      <c r="B13" s="16">
        <v>46050.0</v>
      </c>
      <c r="C13" s="5" t="s">
        <v>31</v>
      </c>
      <c r="D13" s="5" t="s">
        <v>22</v>
      </c>
      <c r="E13" s="5" t="s">
        <v>51</v>
      </c>
      <c r="F13" s="5">
        <v>0.0</v>
      </c>
      <c r="G13" s="5" t="s">
        <v>70</v>
      </c>
      <c r="H13" s="5">
        <v>1.0</v>
      </c>
      <c r="I13" s="13" t="str">
        <f>VLOOKUP(C13,Product_Catalog!$A$4:$D$9,3)</f>
        <v>USB Cable</v>
      </c>
      <c r="J13" s="15">
        <f>HLOOKUP(C13,Product_Catalog!$A$13:$F$14,2)</f>
        <v>0.02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3" t="s">
        <v>2</v>
      </c>
      <c r="B3" s="2"/>
      <c r="C3" s="2"/>
      <c r="D3" s="2"/>
      <c r="E3" s="2"/>
      <c r="F3" s="2"/>
      <c r="G3" s="2"/>
    </row>
    <row r="4">
      <c r="A4" s="4" t="s">
        <v>3</v>
      </c>
      <c r="B4" s="4" t="s">
        <v>5</v>
      </c>
      <c r="C4" s="4" t="s">
        <v>6</v>
      </c>
      <c r="D4" s="4" t="s">
        <v>7</v>
      </c>
      <c r="E4" s="2"/>
      <c r="F4" s="2"/>
      <c r="G4" s="2"/>
    </row>
    <row r="5">
      <c r="A5" s="5" t="s">
        <v>11</v>
      </c>
      <c r="B5" s="7" t="s">
        <v>18</v>
      </c>
      <c r="C5" s="7" t="s">
        <v>19</v>
      </c>
      <c r="D5" s="7" t="s">
        <v>20</v>
      </c>
      <c r="E5" s="2"/>
      <c r="F5" s="2"/>
      <c r="G5" s="2"/>
    </row>
    <row r="6">
      <c r="A6" s="6" t="s">
        <v>21</v>
      </c>
      <c r="B6" s="9" t="s">
        <v>18</v>
      </c>
      <c r="C6" s="9" t="s">
        <v>25</v>
      </c>
      <c r="D6" s="9" t="s">
        <v>26</v>
      </c>
      <c r="E6" s="2"/>
      <c r="F6" s="2"/>
      <c r="G6" s="2"/>
    </row>
    <row r="7">
      <c r="A7" s="5" t="s">
        <v>27</v>
      </c>
      <c r="B7" s="7" t="s">
        <v>28</v>
      </c>
      <c r="C7" s="7" t="s">
        <v>29</v>
      </c>
      <c r="D7" s="7" t="s">
        <v>30</v>
      </c>
      <c r="E7" s="2"/>
      <c r="F7" s="2"/>
      <c r="G7" s="2"/>
    </row>
    <row r="8">
      <c r="A8" s="6" t="s">
        <v>31</v>
      </c>
      <c r="B8" s="9" t="s">
        <v>28</v>
      </c>
      <c r="C8" s="9" t="s">
        <v>32</v>
      </c>
      <c r="D8" s="9" t="s">
        <v>33</v>
      </c>
      <c r="E8" s="2"/>
      <c r="F8" s="2"/>
      <c r="G8" s="2"/>
    </row>
    <row r="9">
      <c r="A9" s="5" t="s">
        <v>34</v>
      </c>
      <c r="B9" s="7" t="s">
        <v>35</v>
      </c>
      <c r="C9" s="7" t="s">
        <v>36</v>
      </c>
      <c r="D9" s="7" t="s">
        <v>37</v>
      </c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3" t="s">
        <v>38</v>
      </c>
      <c r="B12" s="2"/>
      <c r="C12" s="2"/>
      <c r="D12" s="2"/>
      <c r="E12" s="2"/>
      <c r="F12" s="2"/>
      <c r="G12" s="2"/>
    </row>
    <row r="13">
      <c r="A13" s="10" t="s">
        <v>3</v>
      </c>
      <c r="B13" s="11" t="s">
        <v>11</v>
      </c>
      <c r="C13" s="11" t="s">
        <v>21</v>
      </c>
      <c r="D13" s="11" t="s">
        <v>27</v>
      </c>
      <c r="E13" s="11" t="s">
        <v>31</v>
      </c>
      <c r="F13" s="11" t="s">
        <v>34</v>
      </c>
      <c r="G13" s="2"/>
    </row>
    <row r="14">
      <c r="A14" s="10" t="s">
        <v>40</v>
      </c>
      <c r="B14" s="12">
        <v>0.1</v>
      </c>
      <c r="C14" s="12">
        <v>0.05</v>
      </c>
      <c r="D14" s="12">
        <v>0.0</v>
      </c>
      <c r="E14" s="12">
        <v>0.02</v>
      </c>
      <c r="F14" s="12">
        <v>0.15</v>
      </c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68.75"/>
    <col customWidth="1" min="4" max="4" width="15.13"/>
    <col customWidth="1" min="5" max="5" width="21.63"/>
  </cols>
  <sheetData>
    <row r="1">
      <c r="A1" s="1" t="s">
        <v>39</v>
      </c>
      <c r="B1" s="2"/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2"/>
      <c r="G3" s="2"/>
    </row>
    <row r="4">
      <c r="A4" s="14" t="s">
        <v>46</v>
      </c>
      <c r="B4" s="9" t="s">
        <v>47</v>
      </c>
      <c r="C4" s="9" t="s">
        <v>48</v>
      </c>
      <c r="D4" s="17">
        <f>COUNT(Sales_Data!F4:F13)</f>
        <v>9</v>
      </c>
      <c r="E4" s="14">
        <v>9.0</v>
      </c>
      <c r="F4" s="2"/>
      <c r="G4" s="2"/>
    </row>
    <row r="5">
      <c r="A5" s="19" t="s">
        <v>55</v>
      </c>
      <c r="B5" s="7" t="s">
        <v>47</v>
      </c>
      <c r="C5" s="7" t="s">
        <v>56</v>
      </c>
      <c r="D5" s="17">
        <f>COUNTA(Sales_Data!A4:A13)</f>
        <v>10</v>
      </c>
      <c r="E5" s="19">
        <v>10.0</v>
      </c>
      <c r="F5" s="2"/>
      <c r="G5" s="2"/>
    </row>
    <row r="6">
      <c r="A6" s="14" t="s">
        <v>58</v>
      </c>
      <c r="B6" s="9" t="s">
        <v>47</v>
      </c>
      <c r="C6" s="9" t="s">
        <v>60</v>
      </c>
      <c r="D6" s="17">
        <f>COUNTBLANK(Sales_Data!H4:H13)</f>
        <v>2</v>
      </c>
      <c r="E6" s="14">
        <v>2.0</v>
      </c>
      <c r="F6" s="2"/>
      <c r="G6" s="2"/>
    </row>
    <row r="7">
      <c r="A7" s="19" t="s">
        <v>62</v>
      </c>
      <c r="B7" s="7" t="s">
        <v>63</v>
      </c>
      <c r="C7" s="7" t="s">
        <v>64</v>
      </c>
      <c r="D7" s="17">
        <f>COUNTIF(Sales_Data!E4:E13,"Sarah")</f>
        <v>3</v>
      </c>
      <c r="E7" s="19">
        <v>3.0</v>
      </c>
      <c r="F7" s="2"/>
      <c r="G7" s="2"/>
    </row>
    <row r="8">
      <c r="A8" s="14" t="s">
        <v>65</v>
      </c>
      <c r="B8" s="9" t="s">
        <v>63</v>
      </c>
      <c r="C8" s="9" t="s">
        <v>67</v>
      </c>
      <c r="D8" s="17">
        <f>COUNTIFS(Sales_Data!D4:D13,"North",Sales_Data!F4:F13,"&gt;5")</f>
        <v>1</v>
      </c>
      <c r="E8" s="14">
        <v>1.0</v>
      </c>
      <c r="F8" s="2"/>
      <c r="G8" s="2"/>
    </row>
    <row r="9">
      <c r="A9" s="19" t="s">
        <v>71</v>
      </c>
      <c r="B9" s="7" t="s">
        <v>72</v>
      </c>
      <c r="C9" s="7" t="s">
        <v>73</v>
      </c>
      <c r="D9" s="17">
        <f>AVERAGE(Sales_Data!F4:F13)</f>
        <v>8.444444444</v>
      </c>
      <c r="E9" s="19">
        <v>8.44</v>
      </c>
      <c r="F9" s="2"/>
      <c r="G9" s="2"/>
    </row>
    <row r="10">
      <c r="A10" s="14" t="s">
        <v>75</v>
      </c>
      <c r="B10" s="9" t="s">
        <v>72</v>
      </c>
      <c r="C10" s="9" t="s">
        <v>76</v>
      </c>
      <c r="D10" s="17">
        <f>SUMIF(Sales_Data!C4:C13,Sales_Data!C4,Sales_Data!F4:F13)</f>
        <v>24</v>
      </c>
      <c r="E10" s="14">
        <v>24.0</v>
      </c>
      <c r="F10" s="2"/>
      <c r="G10" s="2"/>
    </row>
    <row r="11">
      <c r="A11" s="19" t="s">
        <v>77</v>
      </c>
      <c r="B11" s="7" t="s">
        <v>72</v>
      </c>
      <c r="C11" s="7" t="s">
        <v>79</v>
      </c>
      <c r="D11" s="17">
        <f>SUMIFS(Sales_Data!F3:F13,Sales_Data!E3:E13,"Amit",Sales_Data!D3:D13,"West")</f>
        <v>28</v>
      </c>
      <c r="E11" s="19">
        <v>28.0</v>
      </c>
      <c r="F11" s="2"/>
      <c r="G11" s="2"/>
    </row>
    <row r="12">
      <c r="A12" s="14" t="s">
        <v>80</v>
      </c>
      <c r="B12" s="9" t="s">
        <v>82</v>
      </c>
      <c r="C12" s="9" t="s">
        <v>83</v>
      </c>
      <c r="D12" s="17">
        <f>AVERAGEIF(Sales_Data!D3:D13,"North",Sales_Data!H3:H13)</f>
        <v>2.75</v>
      </c>
      <c r="E12" s="14">
        <v>2.75</v>
      </c>
      <c r="F12" s="2"/>
      <c r="G12" s="2"/>
    </row>
    <row r="13">
      <c r="A13" s="19" t="s">
        <v>84</v>
      </c>
      <c r="B13" s="7" t="s">
        <v>82</v>
      </c>
      <c r="C13" s="7" t="s">
        <v>85</v>
      </c>
      <c r="D13" s="17">
        <f>AVERAGEIFS(Sales_Data!F4:F13,Sales_Data!E4:E13,"Sarah",Sales_Data!H4:H13,"&gt;=4")</f>
        <v>12</v>
      </c>
      <c r="E13" s="19">
        <v>12.0</v>
      </c>
      <c r="F13" s="2"/>
      <c r="G13" s="2"/>
    </row>
    <row r="14">
      <c r="A14" s="14" t="s">
        <v>87</v>
      </c>
      <c r="B14" s="9" t="s">
        <v>88</v>
      </c>
      <c r="C14" s="9" t="s">
        <v>89</v>
      </c>
      <c r="D14" s="20" t="s">
        <v>90</v>
      </c>
      <c r="E14" s="14" t="s">
        <v>91</v>
      </c>
      <c r="F14" s="2"/>
      <c r="G14" s="2"/>
    </row>
    <row r="15">
      <c r="A15" s="19" t="s">
        <v>92</v>
      </c>
      <c r="B15" s="7" t="s">
        <v>94</v>
      </c>
      <c r="C15" s="7" t="s">
        <v>95</v>
      </c>
      <c r="D15" s="20" t="s">
        <v>90</v>
      </c>
      <c r="E15" s="19" t="s">
        <v>96</v>
      </c>
      <c r="F15" s="2"/>
      <c r="G15" s="2"/>
    </row>
    <row r="16">
      <c r="A16" s="14" t="s">
        <v>97</v>
      </c>
      <c r="B16" s="9" t="s">
        <v>98</v>
      </c>
      <c r="C16" s="9" t="s">
        <v>99</v>
      </c>
      <c r="D16" s="17" t="str">
        <f t="array" ref="D16">INDEX(Product_Catalog!D4:D9,MATCH(Product_Catalog!A7,Product_Catalog!A4:A9,1))</f>
        <v>LogiGear</v>
      </c>
      <c r="E16" s="14" t="s">
        <v>30</v>
      </c>
      <c r="F16" s="2"/>
      <c r="G16" s="2"/>
    </row>
    <row r="17">
      <c r="A17" s="19" t="s">
        <v>100</v>
      </c>
      <c r="B17" s="7" t="s">
        <v>101</v>
      </c>
      <c r="C17" s="7" t="s">
        <v>102</v>
      </c>
      <c r="D17" s="17" t="str">
        <f t="array" ref="D17">_xlfn.XLOOKUP(Product_Catalog!C9,Product_Catalog!C4:C9,Product_Catalog!A4:A9)</f>
        <v>P-05</v>
      </c>
      <c r="E17" s="19" t="s">
        <v>34</v>
      </c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</sheetData>
  <drawing r:id="rId1"/>
</worksheet>
</file>